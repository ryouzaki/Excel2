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MediaPlan" sheetId="2" r:id="rId1"/>
    <sheet name="Sheet2" sheetId="3" r:id="rId2"/>
  </sheets>
  <definedNames>
    <definedName name="Format">OFFSET(Sheet2!#REF!,MATCH(MediaPlan!#REF!,Sheet2!$A:$A,0)-1,1,COUNTIF(Sheet2!$A:$A,MediaPlan!#REF!),1)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12" i="2" l="1"/>
  <c r="BW12" i="2"/>
  <c r="BX12" i="2"/>
  <c r="CB12" i="2" s="1"/>
  <c r="CD12" i="2" s="1"/>
  <c r="BY12" i="2"/>
  <c r="CA12" i="2" s="1"/>
  <c r="BT13" i="2"/>
  <c r="BW13" i="2" s="1"/>
  <c r="BX13" i="2"/>
  <c r="CB13" i="2" s="1"/>
  <c r="CD13" i="2" s="1"/>
  <c r="BY13" i="2" l="1"/>
  <c r="CA13" i="2" s="1"/>
  <c r="CH12" i="2" l="1"/>
  <c r="CK12" i="2"/>
  <c r="CH13" i="2"/>
  <c r="BV14" i="2"/>
  <c r="BT14" i="2" s="1"/>
  <c r="CB14" i="2"/>
  <c r="CD14" i="2"/>
  <c r="BV15" i="2"/>
  <c r="BT15" i="2" s="1"/>
  <c r="BW15" i="2"/>
  <c r="CB15" i="2"/>
  <c r="CF15" i="2" s="1"/>
  <c r="CD15" i="2"/>
  <c r="BT16" i="2"/>
  <c r="BW16" i="2"/>
  <c r="BX16" i="2"/>
  <c r="CB16" i="2" s="1"/>
  <c r="CH16" i="2"/>
  <c r="BY16" i="2" l="1"/>
  <c r="CA16" i="2" s="1"/>
  <c r="CK13" i="2"/>
  <c r="CL13" i="2" s="1"/>
  <c r="CH15" i="2"/>
  <c r="CI15" i="2" s="1"/>
  <c r="CK15" i="2"/>
  <c r="CL15" i="2" s="1"/>
  <c r="BY15" i="2"/>
  <c r="CA15" i="2" s="1"/>
  <c r="CI16" i="2"/>
  <c r="CD16" i="2"/>
  <c r="CF16" i="2"/>
  <c r="CI12" i="2"/>
  <c r="CF12" i="2"/>
  <c r="CL12" i="2"/>
  <c r="CH14" i="2"/>
  <c r="CI14" i="2" s="1"/>
  <c r="BW14" i="2"/>
  <c r="CF14" i="2" s="1"/>
  <c r="CK14" i="2"/>
  <c r="CL14" i="2" s="1"/>
  <c r="BY14" i="2"/>
  <c r="CA14" i="2" s="1"/>
  <c r="CI13" i="2"/>
  <c r="CF13" i="2"/>
</calcChain>
</file>

<file path=xl/comments1.xml><?xml version="1.0" encoding="utf-8"?>
<comments xmlns="http://schemas.openxmlformats.org/spreadsheetml/2006/main">
  <authors>
    <author>Author</author>
  </authors>
  <commentList>
    <comment ref="BU1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Special Price </t>
        </r>
      </text>
    </comment>
    <comment ref="CJ12" authorId="0" shapeId="0">
      <text>
        <r>
          <rPr>
            <b/>
            <sz val="9"/>
            <color indexed="81"/>
            <rFont val="Tahoma"/>
            <family val="2"/>
            <charset val="204"/>
          </rPr>
          <t>All forecasts based on length that showed in column "Ad copy format"</t>
        </r>
      </text>
    </comment>
    <comment ref="CG15" authorId="0" shapeId="0">
      <text>
        <r>
          <rPr>
            <b/>
            <sz val="9"/>
            <color indexed="81"/>
            <rFont val="Tahoma"/>
            <family val="2"/>
            <charset val="204"/>
          </rPr>
          <t>Взаимодействия, не клики</t>
        </r>
      </text>
    </comment>
    <comment ref="CJ15" authorId="0" shapeId="0">
      <text>
        <r>
          <rPr>
            <b/>
            <sz val="9"/>
            <color indexed="81"/>
            <rFont val="Tahoma"/>
            <family val="2"/>
            <charset val="204"/>
          </rPr>
          <t>All forecasts based on length that showed in column "Ad copy format"</t>
        </r>
      </text>
    </comment>
    <comment ref="CG16" authorId="0" shapeId="0">
      <text>
        <r>
          <rPr>
            <b/>
            <sz val="9"/>
            <color indexed="81"/>
            <rFont val="Tahoma"/>
            <family val="2"/>
            <charset val="204"/>
          </rPr>
          <t>Взаимодействия, не клики</t>
        </r>
      </text>
    </comment>
  </commentList>
</comments>
</file>

<file path=xl/sharedStrings.xml><?xml version="1.0" encoding="utf-8"?>
<sst xmlns="http://schemas.openxmlformats.org/spreadsheetml/2006/main" count="221" uniqueCount="193">
  <si>
    <t>Placement / Site</t>
  </si>
  <si>
    <t>Description / Site position</t>
  </si>
  <si>
    <t>Ad copy format</t>
  </si>
  <si>
    <t>Rotation type</t>
  </si>
  <si>
    <t>Period</t>
  </si>
  <si>
    <t>January</t>
  </si>
  <si>
    <t>February</t>
  </si>
  <si>
    <t>March</t>
  </si>
  <si>
    <t>April</t>
  </si>
  <si>
    <t>May</t>
  </si>
  <si>
    <t>June</t>
  </si>
  <si>
    <t>August</t>
  </si>
  <si>
    <t>September</t>
  </si>
  <si>
    <t>October</t>
  </si>
  <si>
    <t>November</t>
  </si>
  <si>
    <t>December</t>
  </si>
  <si>
    <t>Impressions</t>
  </si>
  <si>
    <t>Unite price 
(CPM, CPC, CPV, Static)</t>
  </si>
  <si>
    <r>
      <t xml:space="preserve">Unit quantity to buy
(Impressions, </t>
    </r>
    <r>
      <rPr>
        <b/>
        <sz val="9"/>
        <color rgb="FF0070C0"/>
        <rFont val="Calibri"/>
        <family val="2"/>
        <charset val="204"/>
        <scheme val="minor"/>
      </rPr>
      <t>Views,</t>
    </r>
    <r>
      <rPr>
        <b/>
        <sz val="9"/>
        <rFont val="Calibri"/>
        <family val="2"/>
        <charset val="204"/>
        <scheme val="minor"/>
      </rPr>
      <t xml:space="preserve"> </t>
    </r>
    <r>
      <rPr>
        <b/>
        <sz val="9"/>
        <color rgb="FFFF0000"/>
        <rFont val="Calibri"/>
        <family val="2"/>
        <charset val="204"/>
        <scheme val="minor"/>
      </rPr>
      <t>Clicks</t>
    </r>
    <r>
      <rPr>
        <b/>
        <sz val="9"/>
        <rFont val="Calibri"/>
        <family val="2"/>
        <charset val="204"/>
        <scheme val="minor"/>
      </rPr>
      <t>)</t>
    </r>
  </si>
  <si>
    <t>Technical Reach forecast</t>
  </si>
  <si>
    <t>Ratecard price per period</t>
  </si>
  <si>
    <t>Ratecard CPM</t>
  </si>
  <si>
    <t>Discount</t>
  </si>
  <si>
    <t>Discounted CPM</t>
  </si>
  <si>
    <t>Discounted price</t>
  </si>
  <si>
    <t>VAT, %</t>
  </si>
  <si>
    <t>VAT, RUR</t>
  </si>
  <si>
    <t>Forecast</t>
  </si>
  <si>
    <t>CPT</t>
  </si>
  <si>
    <t xml:space="preserve">CTR </t>
  </si>
  <si>
    <t>Clicks</t>
  </si>
  <si>
    <t>CPC</t>
  </si>
  <si>
    <t>VTR</t>
  </si>
  <si>
    <t>Views</t>
  </si>
  <si>
    <t>CPV</t>
  </si>
  <si>
    <t>100K Coefficient</t>
  </si>
  <si>
    <t>Mobile Coefficient</t>
  </si>
  <si>
    <t>1 TRP</t>
  </si>
  <si>
    <t>1 GRP</t>
  </si>
  <si>
    <t>OTS
 / All</t>
  </si>
  <si>
    <t>TRPs</t>
  </si>
  <si>
    <t>GRP</t>
  </si>
  <si>
    <t>TA CPP</t>
  </si>
  <si>
    <t>TA 
// 
Composition</t>
  </si>
  <si>
    <t>TA 
// 
Reach</t>
  </si>
  <si>
    <t>OTS
/</t>
  </si>
  <si>
    <t>tCPM
/</t>
  </si>
  <si>
    <t>borders</t>
  </si>
  <si>
    <t>Awareness</t>
  </si>
  <si>
    <t>Consideration</t>
  </si>
  <si>
    <t>01.01.2018
07.01.2018</t>
  </si>
  <si>
    <t>08.01.2018
14.01.2018</t>
  </si>
  <si>
    <t>15.01.2018
21.01.2018</t>
  </si>
  <si>
    <t>22.01.2018
28.01.2018</t>
  </si>
  <si>
    <t>29.01.2018
31.01.2018</t>
  </si>
  <si>
    <t>01.02.2018
04.02.2018</t>
  </si>
  <si>
    <t>05.02.2018
11.02.2018</t>
  </si>
  <si>
    <t>12.02.2018
18.02.2018</t>
  </si>
  <si>
    <t>19.02.2018
25.02.2018</t>
  </si>
  <si>
    <t>26.02.2018
28.02.2018</t>
  </si>
  <si>
    <t>01.03.2018
04.03.2018</t>
  </si>
  <si>
    <t>05.03.2018
11.03.2018</t>
  </si>
  <si>
    <t>12.03.2018
18.03.2018</t>
  </si>
  <si>
    <t>19.03.2018
25.03.2018</t>
  </si>
  <si>
    <t>26.03.2018
31.03.2018</t>
  </si>
  <si>
    <t>02.04.2018
08.04.2018</t>
  </si>
  <si>
    <t>09.04.2018
15.04.2018</t>
  </si>
  <si>
    <t>16.04.2018
22.04.2018</t>
  </si>
  <si>
    <t>23.04.2018
29.04.2018</t>
  </si>
  <si>
    <t>01.05.2018
06.05.2018</t>
  </si>
  <si>
    <t>07.05.2018
13.05.2018</t>
  </si>
  <si>
    <t>14.05.2018
20.05.2018</t>
  </si>
  <si>
    <t>21.05.2018
27.05.2018</t>
  </si>
  <si>
    <t>28.05.2018
31.05.2018</t>
  </si>
  <si>
    <t>01.06.2018
03.06.2018</t>
  </si>
  <si>
    <t>04.06.2018
10.06.2018</t>
  </si>
  <si>
    <t>11.06.2018
17.06.2018</t>
  </si>
  <si>
    <t>18.06.2018
24.06.2018</t>
  </si>
  <si>
    <t>25.06.2018
30.06.2018</t>
  </si>
  <si>
    <t>02.07.2018
08.07.2018</t>
  </si>
  <si>
    <t>09.07.2018
15.07.2018</t>
  </si>
  <si>
    <t>16.07.2018
22.07.2018</t>
  </si>
  <si>
    <t>23.07.2018
29.07.2018</t>
  </si>
  <si>
    <t>30.07.2018
31.07.2018</t>
  </si>
  <si>
    <t>01.08.2018
05.08.2018</t>
  </si>
  <si>
    <t>06.08.2018
12.08.2018</t>
  </si>
  <si>
    <t>13.08.2018
19.08.2018</t>
  </si>
  <si>
    <t>20.08.2018
26.08.2018</t>
  </si>
  <si>
    <t>27.08.2018
31.08.2018</t>
  </si>
  <si>
    <t>01.09.2018
02.09.2018</t>
  </si>
  <si>
    <t>03.09.2018
09.09.2018</t>
  </si>
  <si>
    <t>10.09.2018
16.09.2018</t>
  </si>
  <si>
    <t>17.09.2018
23.09.2018</t>
  </si>
  <si>
    <t>24.09.2018
30.09.2018</t>
  </si>
  <si>
    <t>01.10.2018
07.10.2018</t>
  </si>
  <si>
    <t>08.10.2018
14.10.2018</t>
  </si>
  <si>
    <t>15.10.2018
21.10.2018</t>
  </si>
  <si>
    <t>22.10.2018
28.10.2018</t>
  </si>
  <si>
    <t>29.10.2018
31.10.2018</t>
  </si>
  <si>
    <t>01.11.2018
04.11.2018</t>
  </si>
  <si>
    <t>05.11.2018
11.11.2018</t>
  </si>
  <si>
    <t>12.11.2018
18.11.2018</t>
  </si>
  <si>
    <t>19.11.2018
25.11.2018</t>
  </si>
  <si>
    <t>26.11.2018
30.11.2018</t>
  </si>
  <si>
    <t>01.12.2018
02.12.2018</t>
  </si>
  <si>
    <t>03.12.2018
09.12.2018</t>
  </si>
  <si>
    <t>10.12.2018
16.12.2018</t>
  </si>
  <si>
    <t>17.12.2018
23.12.2018</t>
  </si>
  <si>
    <t>24.12.2018
30.12.2018</t>
  </si>
  <si>
    <t>Number of periods</t>
  </si>
  <si>
    <t>MyWidget</t>
  </si>
  <si>
    <t>YouTube</t>
  </si>
  <si>
    <t>MyTarget</t>
  </si>
  <si>
    <t>Vk.com</t>
  </si>
  <si>
    <t>DCA</t>
  </si>
  <si>
    <t>GPMD</t>
  </si>
  <si>
    <t>Segmento</t>
  </si>
  <si>
    <t>Direct</t>
  </si>
  <si>
    <t>AdWords</t>
  </si>
  <si>
    <t>YAN</t>
  </si>
  <si>
    <t>GDN</t>
  </si>
  <si>
    <t>Format</t>
  </si>
  <si>
    <t>Service_name</t>
  </si>
  <si>
    <t>Display ads</t>
  </si>
  <si>
    <t>Overlay ads</t>
  </si>
  <si>
    <t>Skippable video ads</t>
  </si>
  <si>
    <t>Non-skippable video ads</t>
  </si>
  <si>
    <t>Bumper ads</t>
  </si>
  <si>
    <t>Sponsored cards</t>
  </si>
  <si>
    <t>Banners</t>
  </si>
  <si>
    <t>All-roll</t>
  </si>
  <si>
    <t>Pre-roll</t>
  </si>
  <si>
    <t>Mid-roll</t>
  </si>
  <si>
    <t>Pause-roll</t>
  </si>
  <si>
    <t>Post-roll</t>
  </si>
  <si>
    <t>Multiformat</t>
  </si>
  <si>
    <t>Cross-platform (OK-VK)</t>
  </si>
  <si>
    <t>Teaser (90x75)</t>
  </si>
  <si>
    <t>Banner (240x400)</t>
  </si>
  <si>
    <t>Banner (240x400) HTML5</t>
  </si>
  <si>
    <t>Posts(OK)</t>
  </si>
  <si>
    <t>Video-posts (OK)</t>
  </si>
  <si>
    <t>Banner in video (1000x120)</t>
  </si>
  <si>
    <t>Pre-roll in video</t>
  </si>
  <si>
    <t>Carousel (OK-VK)</t>
  </si>
  <si>
    <t>Articles</t>
  </si>
  <si>
    <t>Out-stream video network NativeRoll</t>
  </si>
  <si>
    <t>Mobile video ad</t>
  </si>
  <si>
    <t>Audio ad</t>
  </si>
  <si>
    <t>Carousel</t>
  </si>
  <si>
    <t>Promo-post with button</t>
  </si>
  <si>
    <t>Promo-post</t>
  </si>
  <si>
    <t>Promo-post with video</t>
  </si>
  <si>
    <t>TGB</t>
  </si>
  <si>
    <t>Text</t>
  </si>
  <si>
    <t>Price_model_name</t>
  </si>
  <si>
    <t>CPM</t>
  </si>
  <si>
    <t>platform_site</t>
  </si>
  <si>
    <t>description</t>
  </si>
  <si>
    <t>format</t>
  </si>
  <si>
    <t>price_model</t>
  </si>
  <si>
    <t>Interstitial and Rewarded video</t>
  </si>
  <si>
    <t>OLV</t>
  </si>
  <si>
    <t>Programmatic</t>
  </si>
  <si>
    <t>Social Media</t>
  </si>
  <si>
    <t>plan_budget</t>
  </si>
  <si>
    <t>plan_reach</t>
  </si>
  <si>
    <t>plan_impressions</t>
  </si>
  <si>
    <t>plan_clicks</t>
  </si>
  <si>
    <t>plan_views</t>
  </si>
  <si>
    <t>stage</t>
  </si>
  <si>
    <t>category</t>
  </si>
  <si>
    <t>fields</t>
  </si>
  <si>
    <t>Statistics</t>
  </si>
  <si>
    <t>AdriverId</t>
  </si>
  <si>
    <t>adriver_id</t>
  </si>
  <si>
    <t>Funnel step</t>
  </si>
  <si>
    <t>Preference</t>
  </si>
  <si>
    <t>Action</t>
  </si>
  <si>
    <t>Loyalty</t>
  </si>
  <si>
    <t>Channel</t>
  </si>
  <si>
    <t>SEA</t>
  </si>
  <si>
    <t>The video player on pages of sites in package "Coverage". Soc-dem targeting on W 25-44, ,F=3 per flight, Geo Russia</t>
  </si>
  <si>
    <t>Targeting on W, 25-44 BC and beauty / health interest. Priority placement in beauty channels (examples on a separate sheet "YouTube"), context targeting by competitors (YT data) and LaL segment on visitors of competitors sites.. Geo Russia</t>
  </si>
  <si>
    <t>Retargeting on those who have seen True View format on YouTube and on W,25-45 with beauty / health interests. Geo RF</t>
  </si>
  <si>
    <t>Placement in OK / VK. Targetings on:
1. W, 25-45 BC
2. W 25-45, Segments: Beauty and care for a self
Geo RF</t>
  </si>
  <si>
    <t>AK_VN_001</t>
  </si>
  <si>
    <t>AK_VN_002</t>
  </si>
  <si>
    <t>AK_VN_003</t>
  </si>
  <si>
    <t>AK_VN_004</t>
  </si>
  <si>
    <t>AK_VN_005</t>
  </si>
  <si>
    <t>Placement in VK. Targeting on W,25-45 and relevant interest of bueaty and health. Geo FR, RF=2/week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</si>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</sst>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dd/mm/yy;@"/>
    <numFmt numFmtId="165" formatCode="[$-409]d\-mmm;@"/>
    <numFmt numFmtId="166" formatCode="#,##0.00\ &quot;₽&quot;"/>
    <numFmt numFmtId="167" formatCode="_-* #,##0.00\ [$₽-419]_-;\-* #,##0.00\ [$₽-419]_-;_-* &quot;-&quot;??\ [$₽-419]_-;_-@_-"/>
    <numFmt numFmtId="170" formatCode="#,##0\ &quot;₽&quot;"/>
    <numFmt numFmtId="171" formatCode="_-* #,##0\ [$₽-419]_-;\-* #,##0\ [$₽-419]_-;_-* &quot;-&quot;??\ [$₽-419]_-;_-@_-"/>
    <numFmt numFmtId="172" formatCode="#,##0_ ;\-#,##0\ "/>
    <numFmt numFmtId="173" formatCode="_-* #,##0.00_р_._-;\-* #,##0.00_р_._-;_-* &quot;-&quot;??_р_._-;_-@_-"/>
  </numFmts>
  <fonts count="15" x14ac:knownFonts="1">
    <font>
      <sz val="11"/>
      <color theme="1"/>
      <name val="Calibri"/>
      <family val="2"/>
      <scheme val="minor"/>
    </font>
    <font>
      <b/>
      <sz val="9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9"/>
      <color rgb="FF0070C0"/>
      <name val="Calibri"/>
      <family val="2"/>
      <charset val="204"/>
      <scheme val="minor"/>
    </font>
    <font>
      <b/>
      <sz val="9"/>
      <color rgb="FFFF000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9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charset val="204"/>
      <scheme val="minor"/>
    </font>
    <font>
      <sz val="1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"/>
      <name val="Calibri"/>
      <family val="2"/>
      <charset val="204"/>
      <scheme val="minor"/>
    </font>
    <font>
      <sz val="9"/>
      <color rgb="FF0070C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2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5" fillId="0" borderId="0"/>
    <xf numFmtId="0" fontId="7" fillId="0" borderId="0"/>
    <xf numFmtId="9" fontId="9" fillId="0" borderId="0" applyFont="0" applyFill="0" applyBorder="0" applyAlignment="0" applyProtection="0"/>
    <xf numFmtId="0" fontId="11" fillId="0" borderId="0"/>
    <xf numFmtId="9" fontId="5" fillId="0" borderId="0" applyFont="0" applyFill="0" applyBorder="0" applyAlignment="0" applyProtection="0"/>
    <xf numFmtId="17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64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0" borderId="24" xfId="0" applyBorder="1"/>
    <xf numFmtId="0" fontId="0" fillId="0" borderId="25" xfId="0" applyBorder="1"/>
    <xf numFmtId="0" fontId="0" fillId="0" borderId="11" xfId="0" applyBorder="1"/>
    <xf numFmtId="0" fontId="1" fillId="2" borderId="13" xfId="0" applyFont="1" applyFill="1" applyBorder="1" applyAlignment="1"/>
    <xf numFmtId="0" fontId="2" fillId="2" borderId="11" xfId="0" applyFont="1" applyFill="1" applyBorder="1" applyAlignment="1"/>
    <xf numFmtId="0" fontId="1" fillId="2" borderId="0" xfId="0" applyFont="1" applyFill="1" applyBorder="1" applyAlignment="1">
      <alignment vertical="center" wrapText="1"/>
    </xf>
    <xf numFmtId="0" fontId="1" fillId="2" borderId="10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34" xfId="0" applyFont="1" applyFill="1" applyBorder="1" applyAlignment="1">
      <alignment vertical="center" wrapText="1"/>
    </xf>
    <xf numFmtId="0" fontId="2" fillId="2" borderId="27" xfId="0" applyFont="1" applyFill="1" applyBorder="1" applyAlignment="1"/>
    <xf numFmtId="0" fontId="1" fillId="2" borderId="28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8" fillId="3" borderId="36" xfId="2" applyFont="1" applyFill="1" applyBorder="1" applyAlignment="1">
      <alignment horizontal="center"/>
    </xf>
    <xf numFmtId="0" fontId="8" fillId="0" borderId="35" xfId="2" applyFont="1" applyFill="1" applyBorder="1" applyAlignment="1">
      <alignment wrapText="1"/>
    </xf>
    <xf numFmtId="0" fontId="0" fillId="0" borderId="0" xfId="0" applyFill="1"/>
    <xf numFmtId="0" fontId="1" fillId="2" borderId="10" xfId="0" applyFont="1" applyFill="1" applyBorder="1" applyAlignment="1"/>
    <xf numFmtId="0" fontId="2" fillId="2" borderId="0" xfId="0" applyFont="1" applyFill="1" applyBorder="1" applyAlignment="1"/>
    <xf numFmtId="0" fontId="2" fillId="2" borderId="30" xfId="0" applyFont="1" applyFill="1" applyBorder="1" applyAlignment="1"/>
    <xf numFmtId="165" fontId="2" fillId="2" borderId="6" xfId="0" applyNumberFormat="1" applyFont="1" applyFill="1" applyBorder="1" applyAlignment="1">
      <alignment horizontal="center" vertical="center" textRotation="90" wrapText="1"/>
    </xf>
    <xf numFmtId="0" fontId="0" fillId="0" borderId="0" xfId="0" applyFill="1" applyBorder="1"/>
    <xf numFmtId="170" fontId="2" fillId="0" borderId="37" xfId="0" applyNumberFormat="1" applyFont="1" applyFill="1" applyBorder="1" applyAlignment="1">
      <alignment horizontal="center" vertical="center" wrapText="1"/>
    </xf>
    <xf numFmtId="3" fontId="2" fillId="4" borderId="4" xfId="4" applyNumberFormat="1" applyFont="1" applyFill="1" applyBorder="1" applyAlignment="1">
      <alignment horizontal="center" vertical="center"/>
    </xf>
    <xf numFmtId="170" fontId="2" fillId="4" borderId="24" xfId="0" applyNumberFormat="1" applyFont="1" applyFill="1" applyBorder="1" applyAlignment="1">
      <alignment horizontal="center" vertical="center"/>
    </xf>
    <xf numFmtId="9" fontId="10" fillId="4" borderId="4" xfId="5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66" fontId="2" fillId="4" borderId="25" xfId="0" applyNumberFormat="1" applyFont="1" applyFill="1" applyBorder="1" applyAlignment="1">
      <alignment horizontal="center" vertical="center"/>
    </xf>
    <xf numFmtId="9" fontId="2" fillId="0" borderId="3" xfId="3" applyFont="1" applyFill="1" applyBorder="1" applyAlignment="1">
      <alignment horizontal="center" vertical="center"/>
    </xf>
    <xf numFmtId="171" fontId="2" fillId="4" borderId="39" xfId="0" applyNumberFormat="1" applyFont="1" applyFill="1" applyBorder="1" applyAlignment="1">
      <alignment horizontal="right" vertical="center" wrapText="1"/>
    </xf>
    <xf numFmtId="10" fontId="2" fillId="4" borderId="40" xfId="3" applyNumberFormat="1" applyFont="1" applyFill="1" applyBorder="1" applyAlignment="1">
      <alignment horizontal="right" vertical="center" wrapText="1"/>
    </xf>
    <xf numFmtId="172" fontId="2" fillId="4" borderId="40" xfId="0" applyNumberFormat="1" applyFont="1" applyFill="1" applyBorder="1" applyAlignment="1">
      <alignment horizontal="right" vertical="center" wrapText="1"/>
    </xf>
    <xf numFmtId="171" fontId="2" fillId="4" borderId="40" xfId="0" applyNumberFormat="1" applyFont="1" applyFill="1" applyBorder="1" applyAlignment="1">
      <alignment horizontal="right" vertical="center" wrapText="1"/>
    </xf>
    <xf numFmtId="9" fontId="13" fillId="5" borderId="4" xfId="3" applyFont="1" applyFill="1" applyBorder="1" applyAlignment="1">
      <alignment horizontal="right" vertical="center" wrapText="1"/>
    </xf>
    <xf numFmtId="3" fontId="2" fillId="0" borderId="37" xfId="6" applyNumberFormat="1" applyFont="1" applyFill="1" applyBorder="1" applyAlignment="1">
      <alignment horizontal="right" vertical="center" wrapText="1"/>
    </xf>
    <xf numFmtId="166" fontId="2" fillId="4" borderId="25" xfId="0" applyNumberFormat="1" applyFont="1" applyFill="1" applyBorder="1" applyAlignment="1">
      <alignment horizontal="right" vertical="center"/>
    </xf>
    <xf numFmtId="170" fontId="2" fillId="0" borderId="4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 wrapText="1"/>
    </xf>
    <xf numFmtId="166" fontId="2" fillId="4" borderId="37" xfId="0" applyNumberFormat="1" applyFont="1" applyFill="1" applyBorder="1" applyAlignment="1">
      <alignment horizontal="center" vertical="center" wrapText="1"/>
    </xf>
    <xf numFmtId="3" fontId="14" fillId="4" borderId="4" xfId="0" applyNumberFormat="1" applyFont="1" applyFill="1" applyBorder="1" applyAlignment="1">
      <alignment horizontal="center" vertical="center"/>
    </xf>
    <xf numFmtId="166" fontId="2" fillId="4" borderId="41" xfId="0" applyNumberFormat="1" applyFont="1" applyFill="1" applyBorder="1" applyAlignment="1">
      <alignment horizontal="center" vertical="center" wrapText="1"/>
    </xf>
    <xf numFmtId="170" fontId="2" fillId="4" borderId="37" xfId="0" applyNumberFormat="1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vertical="center" wrapText="1"/>
    </xf>
    <xf numFmtId="9" fontId="2" fillId="4" borderId="4" xfId="3" applyFont="1" applyFill="1" applyBorder="1" applyAlignment="1">
      <alignment horizontal="right" vertical="center" wrapText="1"/>
    </xf>
    <xf numFmtId="170" fontId="2" fillId="4" borderId="42" xfId="0" applyNumberFormat="1" applyFont="1" applyFill="1" applyBorder="1" applyAlignment="1">
      <alignment horizontal="center" vertical="center" wrapText="1"/>
    </xf>
    <xf numFmtId="3" fontId="2" fillId="4" borderId="7" xfId="0" applyNumberFormat="1" applyFont="1" applyFill="1" applyBorder="1" applyAlignment="1">
      <alignment horizontal="center" vertical="center"/>
    </xf>
    <xf numFmtId="3" fontId="2" fillId="4" borderId="7" xfId="4" applyNumberFormat="1" applyFont="1" applyFill="1" applyBorder="1" applyAlignment="1">
      <alignment horizontal="center" vertical="center"/>
    </xf>
    <xf numFmtId="166" fontId="2" fillId="4" borderId="21" xfId="0" applyNumberFormat="1" applyFont="1" applyFill="1" applyBorder="1" applyAlignment="1">
      <alignment horizontal="center" vertical="center" wrapText="1"/>
    </xf>
    <xf numFmtId="170" fontId="2" fillId="4" borderId="15" xfId="0" applyNumberFormat="1" applyFont="1" applyFill="1" applyBorder="1" applyAlignment="1">
      <alignment horizontal="center" vertical="center"/>
    </xf>
    <xf numFmtId="9" fontId="10" fillId="4" borderId="7" xfId="7" applyFont="1" applyFill="1" applyBorder="1" applyAlignment="1">
      <alignment horizontal="center" vertical="center"/>
    </xf>
    <xf numFmtId="170" fontId="2" fillId="4" borderId="7" xfId="0" applyNumberFormat="1" applyFont="1" applyFill="1" applyBorder="1" applyAlignment="1">
      <alignment horizontal="center" vertical="center"/>
    </xf>
    <xf numFmtId="166" fontId="2" fillId="4" borderId="16" xfId="0" applyNumberFormat="1" applyFont="1" applyFill="1" applyBorder="1" applyAlignment="1">
      <alignment horizontal="center" vertical="center"/>
    </xf>
    <xf numFmtId="171" fontId="2" fillId="4" borderId="43" xfId="0" applyNumberFormat="1" applyFont="1" applyFill="1" applyBorder="1" applyAlignment="1">
      <alignment horizontal="right" vertical="center" wrapText="1"/>
    </xf>
    <xf numFmtId="10" fontId="2" fillId="4" borderId="20" xfId="3" applyNumberFormat="1" applyFont="1" applyFill="1" applyBorder="1" applyAlignment="1">
      <alignment horizontal="right" vertical="center" wrapText="1"/>
    </xf>
    <xf numFmtId="172" fontId="2" fillId="4" borderId="20" xfId="0" applyNumberFormat="1" applyFont="1" applyFill="1" applyBorder="1" applyAlignment="1">
      <alignment horizontal="right" vertical="center" wrapText="1"/>
    </xf>
    <xf numFmtId="171" fontId="2" fillId="4" borderId="20" xfId="0" applyNumberFormat="1" applyFont="1" applyFill="1" applyBorder="1" applyAlignment="1">
      <alignment horizontal="right" vertical="center" wrapText="1"/>
    </xf>
    <xf numFmtId="9" fontId="2" fillId="4" borderId="7" xfId="3" applyFont="1" applyFill="1" applyBorder="1" applyAlignment="1">
      <alignment horizontal="right" vertical="center" wrapText="1"/>
    </xf>
    <xf numFmtId="167" fontId="1" fillId="2" borderId="12" xfId="0" applyNumberFormat="1" applyFont="1" applyFill="1" applyBorder="1" applyAlignment="1">
      <alignment horizontal="center"/>
    </xf>
    <xf numFmtId="167" fontId="1" fillId="2" borderId="8" xfId="0" applyNumberFormat="1" applyFont="1" applyFill="1" applyBorder="1" applyAlignment="1">
      <alignment horizontal="center"/>
    </xf>
    <xf numFmtId="167" fontId="1" fillId="2" borderId="9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 vertical="center" wrapText="1"/>
    </xf>
    <xf numFmtId="166" fontId="1" fillId="2" borderId="17" xfId="0" applyNumberFormat="1" applyFont="1" applyFill="1" applyBorder="1" applyAlignment="1">
      <alignment horizontal="center" vertical="center" wrapText="1"/>
    </xf>
    <xf numFmtId="166" fontId="1" fillId="2" borderId="19" xfId="0" applyNumberFormat="1" applyFont="1" applyFill="1" applyBorder="1" applyAlignment="1">
      <alignment horizontal="center" vertical="center" wrapText="1"/>
    </xf>
    <xf numFmtId="0" fontId="2" fillId="0" borderId="0" xfId="0" applyFont="1"/>
    <xf numFmtId="0" fontId="2" fillId="0" borderId="0" xfId="0" applyFont="1" applyFill="1"/>
    <xf numFmtId="0" fontId="2" fillId="0" borderId="24" xfId="0" applyFont="1" applyFill="1" applyBorder="1"/>
    <xf numFmtId="0" fontId="2" fillId="0" borderId="4" xfId="0" applyFont="1" applyFill="1" applyBorder="1"/>
    <xf numFmtId="0" fontId="2" fillId="0" borderId="25" xfId="0" applyFont="1" applyFill="1" applyBorder="1"/>
    <xf numFmtId="0" fontId="1" fillId="2" borderId="4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164" fontId="1" fillId="2" borderId="5" xfId="0" applyNumberFormat="1" applyFont="1" applyFill="1" applyBorder="1" applyAlignment="1">
      <alignment horizontal="center" vertical="center" wrapText="1"/>
    </xf>
    <xf numFmtId="164" fontId="1" fillId="2" borderId="44" xfId="0" applyNumberFormat="1" applyFont="1" applyFill="1" applyBorder="1" applyAlignment="1">
      <alignment horizontal="center" vertical="center" wrapText="1"/>
    </xf>
    <xf numFmtId="164" fontId="1" fillId="2" borderId="3" xfId="0" applyNumberFormat="1" applyFont="1" applyFill="1" applyBorder="1" applyAlignment="1">
      <alignment horizontal="center" vertical="center" wrapText="1"/>
    </xf>
    <xf numFmtId="165" fontId="2" fillId="2" borderId="7" xfId="0" applyNumberFormat="1" applyFont="1" applyFill="1" applyBorder="1" applyAlignment="1">
      <alignment horizontal="center" vertical="center" textRotation="90" wrapText="1"/>
    </xf>
    <xf numFmtId="14" fontId="2" fillId="2" borderId="7" xfId="0" applyNumberFormat="1" applyFont="1" applyFill="1" applyBorder="1" applyAlignment="1">
      <alignment horizontal="center" vertical="center" textRotation="90" wrapText="1"/>
    </xf>
    <xf numFmtId="0" fontId="1" fillId="2" borderId="1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1" fillId="2" borderId="45" xfId="0" applyFont="1" applyFill="1" applyBorder="1" applyAlignment="1">
      <alignment horizontal="center" vertical="center" wrapText="1"/>
    </xf>
    <xf numFmtId="165" fontId="2" fillId="2" borderId="16" xfId="0" applyNumberFormat="1" applyFont="1" applyFill="1" applyBorder="1" applyAlignment="1">
      <alignment horizontal="center" vertical="center" textRotation="90" wrapText="1"/>
    </xf>
    <xf numFmtId="166" fontId="1" fillId="2" borderId="46" xfId="0" applyNumberFormat="1" applyFont="1" applyFill="1" applyBorder="1" applyAlignment="1">
      <alignment horizontal="center" vertical="center" wrapText="1"/>
    </xf>
    <xf numFmtId="166" fontId="1" fillId="2" borderId="38" xfId="0" applyNumberFormat="1" applyFont="1" applyFill="1" applyBorder="1" applyAlignment="1">
      <alignment horizontal="center" vertical="center" wrapText="1"/>
    </xf>
    <xf numFmtId="0" fontId="1" fillId="2" borderId="47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0" fontId="1" fillId="2" borderId="46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 vertical="center" wrapText="1"/>
    </xf>
    <xf numFmtId="167" fontId="1" fillId="2" borderId="47" xfId="0" applyNumberFormat="1" applyFont="1" applyFill="1" applyBorder="1" applyAlignment="1">
      <alignment horizontal="center" vertical="center" wrapText="1"/>
    </xf>
    <xf numFmtId="167" fontId="1" fillId="2" borderId="48" xfId="0" applyNumberFormat="1" applyFont="1" applyFill="1" applyBorder="1" applyAlignment="1">
      <alignment horizontal="center" vertical="center" wrapText="1"/>
    </xf>
    <xf numFmtId="0" fontId="1" fillId="2" borderId="46" xfId="1" applyFont="1" applyFill="1" applyBorder="1" applyAlignment="1">
      <alignment horizontal="center" vertical="center" wrapText="1"/>
    </xf>
    <xf numFmtId="0" fontId="1" fillId="2" borderId="38" xfId="1" applyFont="1" applyFill="1" applyBorder="1" applyAlignment="1">
      <alignment horizontal="center" vertical="center" wrapText="1"/>
    </xf>
    <xf numFmtId="0" fontId="1" fillId="2" borderId="47" xfId="1" applyFont="1" applyFill="1" applyBorder="1" applyAlignment="1">
      <alignment horizontal="center" vertical="center" wrapText="1"/>
    </xf>
    <xf numFmtId="0" fontId="1" fillId="2" borderId="48" xfId="1" applyFont="1" applyFill="1" applyBorder="1" applyAlignment="1">
      <alignment horizontal="center" vertical="center" wrapText="1"/>
    </xf>
    <xf numFmtId="0" fontId="1" fillId="2" borderId="17" xfId="1" applyFont="1" applyFill="1" applyBorder="1" applyAlignment="1">
      <alignment horizontal="center" vertical="center" wrapText="1"/>
    </xf>
    <xf numFmtId="0" fontId="1" fillId="2" borderId="19" xfId="1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0" fillId="0" borderId="37" xfId="0" applyBorder="1"/>
    <xf numFmtId="0" fontId="6" fillId="6" borderId="12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3" fontId="2" fillId="4" borderId="37" xfId="0" applyNumberFormat="1" applyFont="1" applyFill="1" applyBorder="1" applyAlignment="1">
      <alignment horizontal="center" vertical="center"/>
    </xf>
    <xf numFmtId="3" fontId="2" fillId="4" borderId="37" xfId="4" applyNumberFormat="1" applyFont="1" applyFill="1" applyBorder="1" applyAlignment="1">
      <alignment horizontal="center" vertical="center"/>
    </xf>
    <xf numFmtId="170" fontId="2" fillId="4" borderId="39" xfId="0" applyNumberFormat="1" applyFont="1" applyFill="1" applyBorder="1" applyAlignment="1">
      <alignment horizontal="center" vertical="center"/>
    </xf>
    <xf numFmtId="9" fontId="10" fillId="4" borderId="37" xfId="5" applyFont="1" applyFill="1" applyBorder="1" applyAlignment="1">
      <alignment horizontal="center" vertical="center"/>
    </xf>
    <xf numFmtId="170" fontId="2" fillId="4" borderId="37" xfId="0" applyNumberFormat="1" applyFont="1" applyFill="1" applyBorder="1" applyAlignment="1">
      <alignment horizontal="center" vertical="center"/>
    </xf>
    <xf numFmtId="166" fontId="2" fillId="4" borderId="41" xfId="0" applyNumberFormat="1" applyFont="1" applyFill="1" applyBorder="1" applyAlignment="1">
      <alignment horizontal="center" vertical="center"/>
    </xf>
    <xf numFmtId="0" fontId="0" fillId="6" borderId="32" xfId="0" applyFill="1" applyBorder="1"/>
    <xf numFmtId="0" fontId="0" fillId="6" borderId="49" xfId="0" applyFill="1" applyBorder="1"/>
    <xf numFmtId="0" fontId="0" fillId="6" borderId="50" xfId="0" applyFill="1" applyBorder="1"/>
    <xf numFmtId="9" fontId="2" fillId="0" borderId="40" xfId="3" applyFont="1" applyFill="1" applyBorder="1" applyAlignment="1">
      <alignment horizontal="center" vertical="center"/>
    </xf>
    <xf numFmtId="0" fontId="2" fillId="6" borderId="32" xfId="0" applyFont="1" applyFill="1" applyBorder="1"/>
    <xf numFmtId="0" fontId="2" fillId="6" borderId="49" xfId="0" applyFont="1" applyFill="1" applyBorder="1"/>
    <xf numFmtId="0" fontId="2" fillId="6" borderId="50" xfId="0" applyFont="1" applyFill="1" applyBorder="1"/>
    <xf numFmtId="0" fontId="2" fillId="6" borderId="31" xfId="0" applyFont="1" applyFill="1" applyBorder="1"/>
    <xf numFmtId="9" fontId="13" fillId="5" borderId="37" xfId="3" applyFont="1" applyFill="1" applyBorder="1" applyAlignment="1">
      <alignment horizontal="right" vertical="center" wrapText="1"/>
    </xf>
    <xf numFmtId="166" fontId="2" fillId="4" borderId="41" xfId="0" applyNumberFormat="1" applyFont="1" applyFill="1" applyBorder="1" applyAlignment="1">
      <alignment horizontal="right" vertical="center"/>
    </xf>
    <xf numFmtId="0" fontId="0" fillId="0" borderId="39" xfId="0" applyBorder="1"/>
    <xf numFmtId="0" fontId="0" fillId="0" borderId="51" xfId="0" applyBorder="1"/>
    <xf numFmtId="0" fontId="2" fillId="0" borderId="3" xfId="0" applyFont="1" applyFill="1" applyBorder="1"/>
    <xf numFmtId="0" fontId="0" fillId="0" borderId="37" xfId="0" applyBorder="1" applyAlignment="1">
      <alignment horizontal="center" vertical="center"/>
    </xf>
    <xf numFmtId="0" fontId="2" fillId="4" borderId="37" xfId="0" applyFont="1" applyFill="1" applyBorder="1" applyAlignment="1">
      <alignment vertical="center" wrapText="1"/>
    </xf>
    <xf numFmtId="0" fontId="2" fillId="6" borderId="33" xfId="0" applyFont="1" applyFill="1" applyBorder="1"/>
    <xf numFmtId="0" fontId="6" fillId="0" borderId="39" xfId="0" applyFont="1" applyFill="1" applyBorder="1" applyAlignment="1">
      <alignment horizontal="center" vertical="center"/>
    </xf>
    <xf numFmtId="0" fontId="0" fillId="0" borderId="41" xfId="0" applyBorder="1"/>
    <xf numFmtId="0" fontId="6" fillId="0" borderId="24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0" fillId="0" borderId="7" xfId="0" applyBorder="1"/>
    <xf numFmtId="0" fontId="2" fillId="4" borderId="7" xfId="0" applyFont="1" applyFill="1" applyBorder="1" applyAlignment="1">
      <alignment vertical="center" wrapText="1"/>
    </xf>
    <xf numFmtId="0" fontId="0" fillId="0" borderId="16" xfId="0" applyBorder="1"/>
    <xf numFmtId="0" fontId="0" fillId="0" borderId="40" xfId="0" applyBorder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6" xfId="0" applyFont="1" applyFill="1" applyBorder="1"/>
    <xf numFmtId="0" fontId="2" fillId="0" borderId="15" xfId="0" applyFont="1" applyFill="1" applyBorder="1"/>
    <xf numFmtId="9" fontId="2" fillId="0" borderId="6" xfId="3" applyFont="1" applyFill="1" applyBorder="1" applyAlignment="1">
      <alignment horizontal="center" vertical="center"/>
    </xf>
    <xf numFmtId="0" fontId="2" fillId="0" borderId="5" xfId="0" applyFont="1" applyFill="1" applyBorder="1"/>
    <xf numFmtId="3" fontId="10" fillId="0" borderId="37" xfId="0" applyNumberFormat="1" applyFont="1" applyFill="1" applyBorder="1" applyAlignment="1">
      <alignment horizontal="center" vertical="center"/>
    </xf>
    <xf numFmtId="3" fontId="10" fillId="0" borderId="39" xfId="0" applyNumberFormat="1" applyFont="1" applyFill="1" applyBorder="1" applyAlignment="1">
      <alignment horizontal="center" vertical="center"/>
    </xf>
    <xf numFmtId="3" fontId="10" fillId="0" borderId="24" xfId="0" applyNumberFormat="1" applyFont="1" applyFill="1" applyBorder="1" applyAlignment="1">
      <alignment horizontal="center" vertical="center"/>
    </xf>
    <xf numFmtId="3" fontId="10" fillId="4" borderId="24" xfId="0" applyNumberFormat="1" applyFont="1" applyFill="1" applyBorder="1" applyAlignment="1">
      <alignment horizontal="center" vertical="center"/>
    </xf>
    <xf numFmtId="3" fontId="10" fillId="0" borderId="15" xfId="0" applyNumberFormat="1" applyFont="1" applyFill="1" applyBorder="1" applyAlignment="1">
      <alignment horizontal="center" vertical="center"/>
    </xf>
    <xf numFmtId="3" fontId="2" fillId="0" borderId="4" xfId="0" applyNumberFormat="1" applyFont="1" applyFill="1" applyBorder="1" applyAlignment="1">
      <alignment horizontal="center" vertical="center"/>
    </xf>
    <xf numFmtId="3" fontId="2" fillId="0" borderId="4" xfId="4" applyNumberFormat="1" applyFont="1" applyFill="1" applyBorder="1" applyAlignment="1">
      <alignment horizontal="center" vertical="center"/>
    </xf>
    <xf numFmtId="166" fontId="2" fillId="0" borderId="41" xfId="0" applyNumberFormat="1" applyFont="1" applyFill="1" applyBorder="1" applyAlignment="1">
      <alignment horizontal="center" vertical="center" wrapText="1"/>
    </xf>
    <xf numFmtId="170" fontId="2" fillId="0" borderId="24" xfId="0" applyNumberFormat="1" applyFont="1" applyFill="1" applyBorder="1" applyAlignment="1">
      <alignment horizontal="center" vertical="center"/>
    </xf>
    <xf numFmtId="9" fontId="10" fillId="0" borderId="4" xfId="7" applyFont="1" applyFill="1" applyBorder="1" applyAlignment="1">
      <alignment horizontal="center" vertical="center"/>
    </xf>
    <xf numFmtId="166" fontId="2" fillId="0" borderId="25" xfId="0" applyNumberFormat="1" applyFont="1" applyFill="1" applyBorder="1" applyAlignment="1">
      <alignment horizontal="center" vertical="center"/>
    </xf>
    <xf numFmtId="0" fontId="0" fillId="6" borderId="47" xfId="0" applyFill="1" applyBorder="1" applyAlignment="1">
      <alignment horizontal="center"/>
    </xf>
    <xf numFmtId="0" fontId="0" fillId="6" borderId="4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22" xfId="0" applyBorder="1"/>
    <xf numFmtId="0" fontId="0" fillId="0" borderId="2" xfId="0" applyBorder="1"/>
    <xf numFmtId="0" fontId="0" fillId="0" borderId="23" xfId="0" applyBorder="1"/>
    <xf numFmtId="0" fontId="0" fillId="0" borderId="15" xfId="0" applyBorder="1"/>
    <xf numFmtId="0" fontId="1" fillId="2" borderId="26" xfId="1" applyFont="1" applyFill="1" applyBorder="1" applyAlignment="1">
      <alignment horizontal="center" vertical="center" wrapText="1"/>
    </xf>
    <xf numFmtId="0" fontId="1" fillId="2" borderId="18" xfId="1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0" borderId="1" xfId="0" applyBorder="1"/>
    <xf numFmtId="0" fontId="0" fillId="0" borderId="6" xfId="0" applyBorder="1"/>
    <xf numFmtId="0" fontId="6" fillId="0" borderId="37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</cellXfs>
  <cellStyles count="8">
    <cellStyle name="Normal" xfId="0" builtinId="0"/>
    <cellStyle name="Normal_Sheet2" xfId="2"/>
    <cellStyle name="Percent" xfId="3" builtinId="5"/>
    <cellStyle name="Обычный 2 10 4" xfId="1"/>
    <cellStyle name="Обычный 2 2 5" xfId="4"/>
    <cellStyle name="Процентный 2" xfId="5"/>
    <cellStyle name="Процентный 2 2" xfId="7"/>
    <cellStyle name="Финансовый 2 6" xfId="6"/>
  </cellStyles>
  <dxfs count="1">
    <dxf>
      <font>
        <color theme="1" tint="0.34998626667073579"/>
      </font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O17"/>
  <sheetViews>
    <sheetView tabSelected="1" zoomScale="80" zoomScaleNormal="80" workbookViewId="0">
      <selection activeCell="E19" sqref="E19"/>
    </sheetView>
  </sheetViews>
  <sheetFormatPr defaultRowHeight="14.4" outlineLevelCol="1" x14ac:dyDescent="0.3"/>
  <cols>
    <col min="1" max="1" width="10.77734375" bestFit="1" customWidth="1"/>
    <col min="2" max="2" width="10.44140625" bestFit="1" customWidth="1"/>
    <col min="3" max="3" width="8.33203125" bestFit="1" customWidth="1"/>
    <col min="4" max="4" width="19.77734375" customWidth="1"/>
    <col min="5" max="5" width="65.77734375" customWidth="1"/>
    <col min="6" max="6" width="22.6640625" bestFit="1" customWidth="1"/>
    <col min="7" max="7" width="11.77734375" bestFit="1" customWidth="1"/>
    <col min="8" max="8" width="10.109375" customWidth="1"/>
    <col min="9" max="9" width="8.77734375" customWidth="1"/>
    <col min="10" max="24" width="5.33203125" style="65" hidden="1" customWidth="1" outlineLevel="1"/>
    <col min="25" max="25" width="2.88671875" style="65" hidden="1" customWidth="1" outlineLevel="1"/>
    <col min="26" max="27" width="5.33203125" style="65" hidden="1" customWidth="1" outlineLevel="1"/>
    <col min="28" max="28" width="5.33203125" style="65" bestFit="1" customWidth="1" collapsed="1"/>
    <col min="29" max="29" width="5.33203125" style="65" bestFit="1" customWidth="1"/>
    <col min="30" max="30" width="2.88671875" style="65" customWidth="1"/>
    <col min="31" max="40" width="5.33203125" style="65" bestFit="1" customWidth="1"/>
    <col min="41" max="41" width="4.109375" style="65" bestFit="1" customWidth="1"/>
    <col min="42" max="46" width="5.33203125" style="65" bestFit="1" customWidth="1"/>
    <col min="47" max="49" width="5.33203125" style="65" hidden="1" customWidth="1" outlineLevel="1"/>
    <col min="50" max="50" width="5.33203125" style="66" hidden="1" customWidth="1" outlineLevel="1"/>
    <col min="51" max="71" width="5.33203125" style="65" hidden="1" customWidth="1" outlineLevel="1"/>
    <col min="72" max="72" width="18.5546875" customWidth="1" collapsed="1"/>
    <col min="73" max="73" width="14.88671875" customWidth="1"/>
    <col min="74" max="74" width="17.5546875" bestFit="1" customWidth="1"/>
    <col min="75" max="75" width="16.88671875" customWidth="1"/>
    <col min="76" max="76" width="18.5546875" customWidth="1"/>
    <col min="77" max="77" width="14.6640625" customWidth="1"/>
    <col min="78" max="78" width="8.21875" customWidth="1"/>
    <col min="79" max="79" width="13.44140625" customWidth="1"/>
    <col min="80" max="80" width="16.33203125" customWidth="1"/>
    <col min="81" max="81" width="9.44140625" customWidth="1"/>
    <col min="82" max="82" width="17.21875" customWidth="1"/>
    <col min="83" max="83" width="2.77734375" customWidth="1"/>
    <col min="84" max="90" width="9.88671875" customWidth="1"/>
    <col min="91" max="91" width="2.77734375" customWidth="1"/>
    <col min="92" max="92" width="11.33203125" customWidth="1"/>
    <col min="93" max="94" width="9.109375" customWidth="1"/>
    <col min="95" max="95" width="10.88671875" customWidth="1"/>
    <col min="96" max="96" width="10.6640625" customWidth="1"/>
    <col min="97" max="97" width="11" customWidth="1"/>
    <col min="98" max="99" width="15.5546875" customWidth="1"/>
    <col min="100" max="100" width="14.6640625" customWidth="1"/>
    <col min="101" max="101" width="9.109375" customWidth="1"/>
    <col min="102" max="102" width="11" customWidth="1"/>
    <col min="103" max="103" width="11.21875" customWidth="1"/>
    <col min="104" max="104" width="2.77734375" customWidth="1"/>
  </cols>
  <sheetData>
    <row r="1" spans="1:197" s="18" customFormat="1" x14ac:dyDescent="0.3"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5"/>
      <c r="BO1" s="65"/>
      <c r="BP1" s="65"/>
      <c r="BQ1" s="65"/>
      <c r="BR1" s="65"/>
      <c r="BS1" s="65"/>
    </row>
    <row r="2" spans="1:197" x14ac:dyDescent="0.3"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</row>
    <row r="3" spans="1:197" x14ac:dyDescent="0.3"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</row>
    <row r="4" spans="1:197" x14ac:dyDescent="0.3"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</row>
    <row r="5" spans="1:197" x14ac:dyDescent="0.3">
      <c r="A5" t="s">
        <v>172</v>
      </c>
      <c r="B5" t="s">
        <v>170</v>
      </c>
      <c r="C5" t="s">
        <v>171</v>
      </c>
      <c r="D5" t="s">
        <v>157</v>
      </c>
      <c r="E5" t="s">
        <v>158</v>
      </c>
      <c r="F5" t="s">
        <v>159</v>
      </c>
      <c r="G5" t="s">
        <v>160</v>
      </c>
      <c r="J5" s="67">
        <v>1</v>
      </c>
      <c r="K5" s="68">
        <v>2</v>
      </c>
      <c r="L5" s="68">
        <v>3</v>
      </c>
      <c r="M5" s="68">
        <v>4</v>
      </c>
      <c r="N5" s="69">
        <v>5</v>
      </c>
      <c r="O5" s="67">
        <v>5</v>
      </c>
      <c r="P5" s="68">
        <v>6</v>
      </c>
      <c r="Q5" s="68">
        <v>7</v>
      </c>
      <c r="R5" s="68">
        <v>8</v>
      </c>
      <c r="S5" s="69">
        <v>9</v>
      </c>
      <c r="T5" s="67">
        <v>9</v>
      </c>
      <c r="U5" s="68">
        <v>10</v>
      </c>
      <c r="V5" s="68">
        <v>11</v>
      </c>
      <c r="W5" s="68">
        <v>12</v>
      </c>
      <c r="X5" s="69">
        <v>13</v>
      </c>
      <c r="Y5" s="67">
        <v>13</v>
      </c>
      <c r="Z5" s="68">
        <v>14</v>
      </c>
      <c r="AA5" s="68">
        <v>15</v>
      </c>
      <c r="AB5" s="68">
        <v>16</v>
      </c>
      <c r="AC5" s="68">
        <v>17</v>
      </c>
      <c r="AD5" s="69">
        <v>18</v>
      </c>
      <c r="AE5" s="67">
        <v>18</v>
      </c>
      <c r="AF5" s="68">
        <v>19</v>
      </c>
      <c r="AG5" s="68">
        <v>20</v>
      </c>
      <c r="AH5" s="68">
        <v>21</v>
      </c>
      <c r="AI5" s="69">
        <v>22</v>
      </c>
      <c r="AJ5" s="67">
        <v>22</v>
      </c>
      <c r="AK5" s="68">
        <v>23</v>
      </c>
      <c r="AL5" s="68">
        <v>24</v>
      </c>
      <c r="AM5" s="68">
        <v>25</v>
      </c>
      <c r="AN5" s="69">
        <v>26</v>
      </c>
      <c r="AO5" s="67">
        <v>26</v>
      </c>
      <c r="AP5" s="68">
        <v>27</v>
      </c>
      <c r="AQ5" s="68">
        <v>28</v>
      </c>
      <c r="AR5" s="68">
        <v>29</v>
      </c>
      <c r="AS5" s="68">
        <v>30</v>
      </c>
      <c r="AT5" s="69">
        <v>31</v>
      </c>
      <c r="AU5" s="67">
        <v>31</v>
      </c>
      <c r="AV5" s="68">
        <v>32</v>
      </c>
      <c r="AW5" s="68">
        <v>33</v>
      </c>
      <c r="AX5" s="68">
        <v>34</v>
      </c>
      <c r="AY5" s="69">
        <v>35</v>
      </c>
      <c r="AZ5" s="67">
        <v>35</v>
      </c>
      <c r="BA5" s="68">
        <v>36</v>
      </c>
      <c r="BB5" s="68">
        <v>37</v>
      </c>
      <c r="BC5" s="68">
        <v>38</v>
      </c>
      <c r="BD5" s="69">
        <v>39</v>
      </c>
      <c r="BE5" s="67">
        <v>40</v>
      </c>
      <c r="BF5" s="68">
        <v>41</v>
      </c>
      <c r="BG5" s="68">
        <v>42</v>
      </c>
      <c r="BH5" s="68">
        <v>43</v>
      </c>
      <c r="BI5" s="69">
        <v>44</v>
      </c>
      <c r="BJ5" s="67">
        <v>44</v>
      </c>
      <c r="BK5" s="68">
        <v>45</v>
      </c>
      <c r="BL5" s="68">
        <v>46</v>
      </c>
      <c r="BM5" s="68">
        <v>47</v>
      </c>
      <c r="BN5" s="69">
        <v>48</v>
      </c>
      <c r="BO5" s="67">
        <v>48</v>
      </c>
      <c r="BP5" s="68">
        <v>49</v>
      </c>
      <c r="BQ5" s="68">
        <v>50</v>
      </c>
      <c r="BR5" s="68">
        <v>51</v>
      </c>
      <c r="BS5" s="69">
        <v>52</v>
      </c>
      <c r="BT5" t="s">
        <v>167</v>
      </c>
      <c r="BW5" t="s">
        <v>166</v>
      </c>
      <c r="CB5" t="s">
        <v>165</v>
      </c>
      <c r="CH5" t="s">
        <v>168</v>
      </c>
      <c r="CK5" t="s">
        <v>169</v>
      </c>
      <c r="DA5" t="s">
        <v>175</v>
      </c>
    </row>
    <row r="6" spans="1:197" ht="15" thickBot="1" x14ac:dyDescent="0.35"/>
    <row r="7" spans="1:197" ht="15" customHeight="1" thickBot="1" x14ac:dyDescent="0.35"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CF7" s="59" t="s">
        <v>27</v>
      </c>
      <c r="CG7" s="60"/>
      <c r="CH7" s="60"/>
      <c r="CI7" s="60"/>
      <c r="CJ7" s="60"/>
      <c r="CK7" s="60"/>
      <c r="CL7" s="61"/>
      <c r="DA7" s="59" t="s">
        <v>173</v>
      </c>
      <c r="DB7" s="60"/>
      <c r="DC7" s="60"/>
      <c r="DD7" s="60"/>
    </row>
    <row r="8" spans="1:197" ht="13.05" customHeight="1" x14ac:dyDescent="0.3">
      <c r="B8" s="7"/>
      <c r="C8" s="19"/>
      <c r="D8" s="10"/>
      <c r="E8" s="10"/>
      <c r="F8" s="10"/>
      <c r="G8" s="10"/>
      <c r="H8" s="10"/>
      <c r="I8" s="11"/>
      <c r="J8" s="77">
        <v>1</v>
      </c>
      <c r="K8" s="78">
        <v>2</v>
      </c>
      <c r="L8" s="78">
        <v>3</v>
      </c>
      <c r="M8" s="78">
        <v>4</v>
      </c>
      <c r="N8" s="78">
        <v>5</v>
      </c>
      <c r="O8" s="78">
        <v>5</v>
      </c>
      <c r="P8" s="78">
        <v>6</v>
      </c>
      <c r="Q8" s="78">
        <v>7</v>
      </c>
      <c r="R8" s="78">
        <v>8</v>
      </c>
      <c r="S8" s="78">
        <v>9</v>
      </c>
      <c r="T8" s="78">
        <v>9</v>
      </c>
      <c r="U8" s="78">
        <v>10</v>
      </c>
      <c r="V8" s="78">
        <v>11</v>
      </c>
      <c r="W8" s="78">
        <v>12</v>
      </c>
      <c r="X8" s="78">
        <v>13</v>
      </c>
      <c r="Y8" s="78">
        <v>13</v>
      </c>
      <c r="Z8" s="78">
        <v>14</v>
      </c>
      <c r="AA8" s="78">
        <v>15</v>
      </c>
      <c r="AB8" s="78">
        <v>16</v>
      </c>
      <c r="AC8" s="78">
        <v>17</v>
      </c>
      <c r="AD8" s="78">
        <v>18</v>
      </c>
      <c r="AE8" s="78">
        <v>18</v>
      </c>
      <c r="AF8" s="78">
        <v>19</v>
      </c>
      <c r="AG8" s="78">
        <v>20</v>
      </c>
      <c r="AH8" s="78">
        <v>21</v>
      </c>
      <c r="AI8" s="78">
        <v>22</v>
      </c>
      <c r="AJ8" s="78">
        <v>22</v>
      </c>
      <c r="AK8" s="78">
        <v>23</v>
      </c>
      <c r="AL8" s="78">
        <v>24</v>
      </c>
      <c r="AM8" s="78">
        <v>25</v>
      </c>
      <c r="AN8" s="78">
        <v>26</v>
      </c>
      <c r="AO8" s="78">
        <v>26</v>
      </c>
      <c r="AP8" s="78">
        <v>27</v>
      </c>
      <c r="AQ8" s="78">
        <v>28</v>
      </c>
      <c r="AR8" s="78">
        <v>29</v>
      </c>
      <c r="AS8" s="78">
        <v>30</v>
      </c>
      <c r="AT8" s="78">
        <v>31</v>
      </c>
      <c r="AU8" s="78">
        <v>31</v>
      </c>
      <c r="AV8" s="78">
        <v>32</v>
      </c>
      <c r="AW8" s="78">
        <v>33</v>
      </c>
      <c r="AX8" s="78">
        <v>34</v>
      </c>
      <c r="AY8" s="78">
        <v>35</v>
      </c>
      <c r="AZ8" s="78">
        <v>35</v>
      </c>
      <c r="BA8" s="78">
        <v>36</v>
      </c>
      <c r="BB8" s="78">
        <v>37</v>
      </c>
      <c r="BC8" s="78">
        <v>38</v>
      </c>
      <c r="BD8" s="78">
        <v>39</v>
      </c>
      <c r="BE8" s="78">
        <v>40</v>
      </c>
      <c r="BF8" s="78">
        <v>41</v>
      </c>
      <c r="BG8" s="78">
        <v>42</v>
      </c>
      <c r="BH8" s="78">
        <v>43</v>
      </c>
      <c r="BI8" s="78">
        <v>44</v>
      </c>
      <c r="BJ8" s="78">
        <v>44</v>
      </c>
      <c r="BK8" s="78">
        <v>45</v>
      </c>
      <c r="BL8" s="78">
        <v>46</v>
      </c>
      <c r="BM8" s="78">
        <v>47</v>
      </c>
      <c r="BN8" s="78">
        <v>48</v>
      </c>
      <c r="BO8" s="78">
        <v>48</v>
      </c>
      <c r="BP8" s="78">
        <v>49</v>
      </c>
      <c r="BQ8" s="78">
        <v>50</v>
      </c>
      <c r="BR8" s="78">
        <v>51</v>
      </c>
      <c r="BS8" s="79">
        <v>52</v>
      </c>
      <c r="BT8" s="84" t="s">
        <v>16</v>
      </c>
      <c r="BU8" s="82" t="s">
        <v>17</v>
      </c>
      <c r="BV8" s="86" t="s">
        <v>18</v>
      </c>
      <c r="BW8" s="86" t="s">
        <v>19</v>
      </c>
      <c r="BX8" s="82" t="s">
        <v>20</v>
      </c>
      <c r="BY8" s="82" t="s">
        <v>21</v>
      </c>
      <c r="BZ8" s="86" t="s">
        <v>22</v>
      </c>
      <c r="CA8" s="82" t="s">
        <v>23</v>
      </c>
      <c r="CB8" s="63" t="s">
        <v>24</v>
      </c>
      <c r="CC8" s="84" t="s">
        <v>25</v>
      </c>
      <c r="CD8" s="63" t="s">
        <v>26</v>
      </c>
      <c r="CF8" s="88" t="s">
        <v>28</v>
      </c>
      <c r="CG8" s="86" t="s">
        <v>29</v>
      </c>
      <c r="CH8" s="86" t="s">
        <v>30</v>
      </c>
      <c r="CI8" s="86" t="s">
        <v>31</v>
      </c>
      <c r="CJ8" s="86" t="s">
        <v>32</v>
      </c>
      <c r="CK8" s="86" t="s">
        <v>33</v>
      </c>
      <c r="CL8" s="96" t="s">
        <v>34</v>
      </c>
      <c r="CN8" s="92" t="s">
        <v>43</v>
      </c>
      <c r="CO8" s="90" t="s">
        <v>35</v>
      </c>
      <c r="CP8" s="90" t="s">
        <v>36</v>
      </c>
      <c r="CQ8" s="90" t="s">
        <v>44</v>
      </c>
      <c r="CR8" s="90" t="s">
        <v>37</v>
      </c>
      <c r="CS8" s="90" t="s">
        <v>38</v>
      </c>
      <c r="CT8" s="90" t="s">
        <v>45</v>
      </c>
      <c r="CU8" s="90" t="s">
        <v>39</v>
      </c>
      <c r="CV8" s="94" t="s">
        <v>46</v>
      </c>
      <c r="CW8" s="156" t="s">
        <v>40</v>
      </c>
      <c r="CX8" s="90" t="s">
        <v>41</v>
      </c>
      <c r="CY8" s="94" t="s">
        <v>42</v>
      </c>
      <c r="DA8" s="92" t="s">
        <v>174</v>
      </c>
      <c r="DB8" s="90"/>
      <c r="DC8" s="90"/>
      <c r="DD8" s="90"/>
    </row>
    <row r="9" spans="1:197" ht="13.05" customHeight="1" x14ac:dyDescent="0.3">
      <c r="B9" s="8"/>
      <c r="C9" s="20"/>
      <c r="D9" s="9"/>
      <c r="E9" s="9"/>
      <c r="F9" s="9"/>
      <c r="G9" s="9"/>
      <c r="H9" s="9"/>
      <c r="I9" s="12"/>
      <c r="J9" s="70" t="s">
        <v>5</v>
      </c>
      <c r="K9" s="70"/>
      <c r="L9" s="70"/>
      <c r="M9" s="70"/>
      <c r="N9" s="62"/>
      <c r="O9" s="71" t="s">
        <v>6</v>
      </c>
      <c r="P9" s="70"/>
      <c r="Q9" s="70"/>
      <c r="R9" s="70"/>
      <c r="S9" s="62"/>
      <c r="T9" s="71" t="s">
        <v>7</v>
      </c>
      <c r="U9" s="70"/>
      <c r="V9" s="70"/>
      <c r="W9" s="70"/>
      <c r="X9" s="62"/>
      <c r="Y9" s="71" t="s">
        <v>8</v>
      </c>
      <c r="Z9" s="70"/>
      <c r="AA9" s="70"/>
      <c r="AB9" s="70"/>
      <c r="AC9" s="70"/>
      <c r="AD9" s="62"/>
      <c r="AE9" s="71" t="s">
        <v>9</v>
      </c>
      <c r="AF9" s="70"/>
      <c r="AG9" s="70"/>
      <c r="AH9" s="70"/>
      <c r="AI9" s="62"/>
      <c r="AJ9" s="72" t="s">
        <v>10</v>
      </c>
      <c r="AK9" s="73"/>
      <c r="AL9" s="73"/>
      <c r="AM9" s="73"/>
      <c r="AN9" s="74"/>
      <c r="AO9" s="71" t="s">
        <v>192</v>
      </c>
      <c r="AP9" s="70"/>
      <c r="AQ9" s="70"/>
      <c r="AR9" s="70"/>
      <c r="AS9" s="70"/>
      <c r="AT9" s="62"/>
      <c r="AU9" s="71" t="s">
        <v>11</v>
      </c>
      <c r="AV9" s="70"/>
      <c r="AW9" s="70"/>
      <c r="AX9" s="70"/>
      <c r="AY9" s="62"/>
      <c r="AZ9" s="71" t="s">
        <v>12</v>
      </c>
      <c r="BA9" s="70"/>
      <c r="BB9" s="70"/>
      <c r="BC9" s="70"/>
      <c r="BD9" s="62"/>
      <c r="BE9" s="71" t="s">
        <v>13</v>
      </c>
      <c r="BF9" s="70"/>
      <c r="BG9" s="70"/>
      <c r="BH9" s="70"/>
      <c r="BI9" s="62"/>
      <c r="BJ9" s="71" t="s">
        <v>14</v>
      </c>
      <c r="BK9" s="70"/>
      <c r="BL9" s="70"/>
      <c r="BM9" s="70"/>
      <c r="BN9" s="62"/>
      <c r="BO9" s="71" t="s">
        <v>15</v>
      </c>
      <c r="BP9" s="70"/>
      <c r="BQ9" s="70"/>
      <c r="BR9" s="70"/>
      <c r="BS9" s="80"/>
      <c r="BT9" s="85"/>
      <c r="BU9" s="83"/>
      <c r="BV9" s="87"/>
      <c r="BW9" s="87"/>
      <c r="BX9" s="83"/>
      <c r="BY9" s="83"/>
      <c r="BZ9" s="87"/>
      <c r="CA9" s="83"/>
      <c r="CB9" s="64"/>
      <c r="CC9" s="85"/>
      <c r="CD9" s="64"/>
      <c r="CF9" s="89"/>
      <c r="CG9" s="87"/>
      <c r="CH9" s="87"/>
      <c r="CI9" s="87"/>
      <c r="CJ9" s="87"/>
      <c r="CK9" s="87"/>
      <c r="CL9" s="97"/>
      <c r="CN9" s="93"/>
      <c r="CO9" s="91"/>
      <c r="CP9" s="91"/>
      <c r="CQ9" s="91"/>
      <c r="CR9" s="91"/>
      <c r="CS9" s="91"/>
      <c r="CT9" s="91"/>
      <c r="CU9" s="91"/>
      <c r="CV9" s="95"/>
      <c r="CW9" s="157"/>
      <c r="CX9" s="91"/>
      <c r="CY9" s="95"/>
      <c r="DA9" s="93"/>
      <c r="DB9" s="91"/>
      <c r="DC9" s="91"/>
      <c r="DD9" s="91"/>
    </row>
    <row r="10" spans="1:197" ht="49.95" customHeight="1" thickBot="1" x14ac:dyDescent="0.35">
      <c r="B10" s="13"/>
      <c r="C10" s="21"/>
      <c r="D10" s="14" t="s">
        <v>0</v>
      </c>
      <c r="E10" s="14" t="s">
        <v>1</v>
      </c>
      <c r="F10" s="14" t="s">
        <v>2</v>
      </c>
      <c r="G10" s="14" t="s">
        <v>3</v>
      </c>
      <c r="H10" s="14" t="s">
        <v>109</v>
      </c>
      <c r="I10" s="15" t="s">
        <v>4</v>
      </c>
      <c r="J10" s="22" t="s">
        <v>50</v>
      </c>
      <c r="K10" s="75" t="s">
        <v>51</v>
      </c>
      <c r="L10" s="75" t="s">
        <v>52</v>
      </c>
      <c r="M10" s="75" t="s">
        <v>53</v>
      </c>
      <c r="N10" s="75" t="s">
        <v>54</v>
      </c>
      <c r="O10" s="75" t="s">
        <v>55</v>
      </c>
      <c r="P10" s="75" t="s">
        <v>56</v>
      </c>
      <c r="Q10" s="75" t="s">
        <v>57</v>
      </c>
      <c r="R10" s="75" t="s">
        <v>58</v>
      </c>
      <c r="S10" s="75" t="s">
        <v>59</v>
      </c>
      <c r="T10" s="75" t="s">
        <v>60</v>
      </c>
      <c r="U10" s="75" t="s">
        <v>61</v>
      </c>
      <c r="V10" s="75" t="s">
        <v>62</v>
      </c>
      <c r="W10" s="75" t="s">
        <v>63</v>
      </c>
      <c r="X10" s="75" t="s">
        <v>64</v>
      </c>
      <c r="Y10" s="76">
        <v>43191</v>
      </c>
      <c r="Z10" s="75" t="s">
        <v>65</v>
      </c>
      <c r="AA10" s="75" t="s">
        <v>66</v>
      </c>
      <c r="AB10" s="75" t="s">
        <v>67</v>
      </c>
      <c r="AC10" s="75" t="s">
        <v>68</v>
      </c>
      <c r="AD10" s="76">
        <v>43220</v>
      </c>
      <c r="AE10" s="75" t="s">
        <v>69</v>
      </c>
      <c r="AF10" s="75" t="s">
        <v>70</v>
      </c>
      <c r="AG10" s="75" t="s">
        <v>71</v>
      </c>
      <c r="AH10" s="75" t="s">
        <v>72</v>
      </c>
      <c r="AI10" s="75" t="s">
        <v>73</v>
      </c>
      <c r="AJ10" s="75" t="s">
        <v>74</v>
      </c>
      <c r="AK10" s="75" t="s">
        <v>75</v>
      </c>
      <c r="AL10" s="75" t="s">
        <v>76</v>
      </c>
      <c r="AM10" s="75" t="s">
        <v>77</v>
      </c>
      <c r="AN10" s="75" t="s">
        <v>78</v>
      </c>
      <c r="AO10" s="76">
        <v>43282</v>
      </c>
      <c r="AP10" s="75" t="s">
        <v>79</v>
      </c>
      <c r="AQ10" s="75" t="s">
        <v>80</v>
      </c>
      <c r="AR10" s="75" t="s">
        <v>81</v>
      </c>
      <c r="AS10" s="75" t="s">
        <v>82</v>
      </c>
      <c r="AT10" s="75" t="s">
        <v>83</v>
      </c>
      <c r="AU10" s="75" t="s">
        <v>84</v>
      </c>
      <c r="AV10" s="75" t="s">
        <v>85</v>
      </c>
      <c r="AW10" s="75" t="s">
        <v>86</v>
      </c>
      <c r="AX10" s="75" t="s">
        <v>87</v>
      </c>
      <c r="AY10" s="75" t="s">
        <v>88</v>
      </c>
      <c r="AZ10" s="75" t="s">
        <v>89</v>
      </c>
      <c r="BA10" s="75" t="s">
        <v>90</v>
      </c>
      <c r="BB10" s="75" t="s">
        <v>91</v>
      </c>
      <c r="BC10" s="75" t="s">
        <v>92</v>
      </c>
      <c r="BD10" s="75" t="s">
        <v>93</v>
      </c>
      <c r="BE10" s="75" t="s">
        <v>94</v>
      </c>
      <c r="BF10" s="75" t="s">
        <v>95</v>
      </c>
      <c r="BG10" s="75" t="s">
        <v>96</v>
      </c>
      <c r="BH10" s="75" t="s">
        <v>97</v>
      </c>
      <c r="BI10" s="75" t="s">
        <v>98</v>
      </c>
      <c r="BJ10" s="75" t="s">
        <v>99</v>
      </c>
      <c r="BK10" s="75" t="s">
        <v>100</v>
      </c>
      <c r="BL10" s="75" t="s">
        <v>101</v>
      </c>
      <c r="BM10" s="75" t="s">
        <v>102</v>
      </c>
      <c r="BN10" s="75" t="s">
        <v>103</v>
      </c>
      <c r="BO10" s="75" t="s">
        <v>104</v>
      </c>
      <c r="BP10" s="75" t="s">
        <v>105</v>
      </c>
      <c r="BQ10" s="75" t="s">
        <v>106</v>
      </c>
      <c r="BR10" s="75" t="s">
        <v>107</v>
      </c>
      <c r="BS10" s="81" t="s">
        <v>108</v>
      </c>
      <c r="BT10" s="85"/>
      <c r="BU10" s="83"/>
      <c r="BV10" s="87"/>
      <c r="BW10" s="87"/>
      <c r="BX10" s="83"/>
      <c r="BY10" s="83"/>
      <c r="BZ10" s="87"/>
      <c r="CA10" s="83"/>
      <c r="CB10" s="64"/>
      <c r="CC10" s="85"/>
      <c r="CD10" s="64"/>
      <c r="CF10" s="89"/>
      <c r="CG10" s="87"/>
      <c r="CH10" s="87"/>
      <c r="CI10" s="87"/>
      <c r="CJ10" s="87"/>
      <c r="CK10" s="87"/>
      <c r="CL10" s="97"/>
      <c r="CN10" s="93"/>
      <c r="CO10" s="91"/>
      <c r="CP10" s="91"/>
      <c r="CQ10" s="91"/>
      <c r="CR10" s="91"/>
      <c r="CS10" s="91"/>
      <c r="CT10" s="91"/>
      <c r="CU10" s="91"/>
      <c r="CV10" s="95"/>
      <c r="CW10" s="157"/>
      <c r="CX10" s="91"/>
      <c r="CY10" s="95"/>
      <c r="DA10" s="93"/>
      <c r="DB10" s="91"/>
      <c r="DC10" s="91"/>
      <c r="DD10" s="91"/>
    </row>
    <row r="11" spans="1:197" ht="18" customHeight="1" thickBot="1" x14ac:dyDescent="0.35">
      <c r="B11" s="99" t="s">
        <v>162</v>
      </c>
      <c r="C11" s="100"/>
      <c r="D11" s="100"/>
      <c r="E11" s="100"/>
      <c r="F11" s="100"/>
      <c r="G11" s="100"/>
      <c r="H11" s="100"/>
      <c r="I11" s="101"/>
      <c r="J11" s="123"/>
      <c r="K11" s="113"/>
      <c r="L11" s="113"/>
      <c r="M11" s="113"/>
      <c r="N11" s="114"/>
      <c r="O11" s="112"/>
      <c r="P11" s="113"/>
      <c r="Q11" s="113"/>
      <c r="R11" s="113"/>
      <c r="S11" s="114"/>
      <c r="T11" s="112"/>
      <c r="U11" s="113"/>
      <c r="V11" s="113"/>
      <c r="W11" s="113"/>
      <c r="X11" s="114"/>
      <c r="Y11" s="112"/>
      <c r="Z11" s="113"/>
      <c r="AA11" s="113"/>
      <c r="AB11" s="113"/>
      <c r="AC11" s="113"/>
      <c r="AD11" s="114"/>
      <c r="AE11" s="112"/>
      <c r="AF11" s="113"/>
      <c r="AG11" s="113"/>
      <c r="AH11" s="113"/>
      <c r="AI11" s="114"/>
      <c r="AJ11" s="112"/>
      <c r="AK11" s="113"/>
      <c r="AL11" s="113"/>
      <c r="AM11" s="113"/>
      <c r="AN11" s="114"/>
      <c r="AO11" s="112"/>
      <c r="AP11" s="113"/>
      <c r="AQ11" s="113"/>
      <c r="AR11" s="113"/>
      <c r="AS11" s="113"/>
      <c r="AT11" s="114"/>
      <c r="AU11" s="112"/>
      <c r="AV11" s="113"/>
      <c r="AW11" s="113"/>
      <c r="AX11" s="113"/>
      <c r="AY11" s="114"/>
      <c r="AZ11" s="112"/>
      <c r="BA11" s="113"/>
      <c r="BB11" s="113"/>
      <c r="BC11" s="113"/>
      <c r="BD11" s="114"/>
      <c r="BE11" s="112"/>
      <c r="BF11" s="113"/>
      <c r="BG11" s="113"/>
      <c r="BH11" s="113"/>
      <c r="BI11" s="114"/>
      <c r="BJ11" s="112"/>
      <c r="BK11" s="113"/>
      <c r="BL11" s="113"/>
      <c r="BM11" s="113"/>
      <c r="BN11" s="114"/>
      <c r="BO11" s="112"/>
      <c r="BP11" s="113"/>
      <c r="BQ11" s="113"/>
      <c r="BR11" s="113"/>
      <c r="BS11" s="115"/>
      <c r="BT11" s="108"/>
      <c r="BU11" s="109"/>
      <c r="BV11" s="109"/>
      <c r="BW11" s="109"/>
      <c r="BX11" s="109"/>
      <c r="BY11" s="109"/>
      <c r="BZ11" s="109"/>
      <c r="CA11" s="109"/>
      <c r="CB11" s="110"/>
      <c r="CC11" s="108"/>
      <c r="CD11" s="110"/>
      <c r="CF11" s="108"/>
      <c r="CG11" s="109"/>
      <c r="CH11" s="109"/>
      <c r="CI11" s="109"/>
      <c r="CJ11" s="109"/>
      <c r="CK11" s="109"/>
      <c r="CL11" s="110"/>
      <c r="CN11" s="108"/>
      <c r="CO11" s="109"/>
      <c r="CP11" s="109"/>
      <c r="CQ11" s="109"/>
      <c r="CR11" s="109"/>
      <c r="CS11" s="109"/>
      <c r="CT11" s="109"/>
      <c r="CU11" s="109"/>
      <c r="CV11" s="110"/>
      <c r="CW11" s="158"/>
      <c r="CX11" s="109"/>
      <c r="CY11" s="110"/>
      <c r="DA11" s="149"/>
      <c r="DB11" s="150"/>
      <c r="DC11" s="150"/>
      <c r="DD11" s="151"/>
    </row>
    <row r="12" spans="1:197" s="18" customFormat="1" ht="24" x14ac:dyDescent="0.3">
      <c r="A12" s="18" t="s">
        <v>186</v>
      </c>
      <c r="B12" s="124" t="s">
        <v>48</v>
      </c>
      <c r="C12" s="161" t="s">
        <v>162</v>
      </c>
      <c r="D12" s="98" t="s">
        <v>115</v>
      </c>
      <c r="E12" s="122" t="s">
        <v>182</v>
      </c>
      <c r="F12" s="98" t="s">
        <v>130</v>
      </c>
      <c r="G12" s="98" t="s">
        <v>156</v>
      </c>
      <c r="H12" s="98"/>
      <c r="I12" s="125"/>
      <c r="J12" s="120"/>
      <c r="K12" s="68"/>
      <c r="L12" s="68"/>
      <c r="M12" s="68"/>
      <c r="N12" s="69"/>
      <c r="O12" s="67"/>
      <c r="P12" s="68"/>
      <c r="Q12" s="68"/>
      <c r="R12" s="68"/>
      <c r="S12" s="69"/>
      <c r="T12" s="67"/>
      <c r="U12" s="68"/>
      <c r="V12" s="68"/>
      <c r="W12" s="68"/>
      <c r="X12" s="69"/>
      <c r="Y12" s="67"/>
      <c r="Z12" s="68"/>
      <c r="AA12" s="68"/>
      <c r="AB12" s="68"/>
      <c r="AC12" s="68"/>
      <c r="AD12" s="69"/>
      <c r="AE12" s="67"/>
      <c r="AF12" s="68"/>
      <c r="AG12" s="68"/>
      <c r="AH12" s="68">
        <v>1</v>
      </c>
      <c r="AI12" s="69">
        <v>1</v>
      </c>
      <c r="AJ12" s="67">
        <v>1</v>
      </c>
      <c r="AK12" s="68"/>
      <c r="AL12" s="68"/>
      <c r="AM12" s="68"/>
      <c r="AN12" s="69"/>
      <c r="AO12" s="67"/>
      <c r="AP12" s="68"/>
      <c r="AQ12" s="68"/>
      <c r="AR12" s="68"/>
      <c r="AS12" s="68"/>
      <c r="AT12" s="69"/>
      <c r="AU12" s="67"/>
      <c r="AV12" s="68"/>
      <c r="AW12" s="68"/>
      <c r="AX12" s="68"/>
      <c r="AY12" s="69"/>
      <c r="AZ12" s="67"/>
      <c r="BA12" s="68"/>
      <c r="BB12" s="68"/>
      <c r="BC12" s="68"/>
      <c r="BD12" s="69"/>
      <c r="BE12" s="67"/>
      <c r="BF12" s="68"/>
      <c r="BG12" s="68"/>
      <c r="BH12" s="68"/>
      <c r="BI12" s="69"/>
      <c r="BJ12" s="67"/>
      <c r="BK12" s="68"/>
      <c r="BL12" s="68"/>
      <c r="BM12" s="68"/>
      <c r="BN12" s="69"/>
      <c r="BO12" s="67"/>
      <c r="BP12" s="68"/>
      <c r="BQ12" s="68"/>
      <c r="BR12" s="68"/>
      <c r="BS12" s="69"/>
      <c r="BT12" s="139">
        <f>BV12</f>
        <v>8500000</v>
      </c>
      <c r="BU12" s="24">
        <v>450</v>
      </c>
      <c r="BV12" s="102">
        <v>8500000</v>
      </c>
      <c r="BW12" s="103">
        <f>BT12/3</f>
        <v>2833333.3333333335</v>
      </c>
      <c r="BX12" s="42">
        <f t="shared" ref="BX12" si="0">BV12/1000*BU12</f>
        <v>3825000</v>
      </c>
      <c r="BY12" s="104">
        <f t="shared" ref="BY12:BY16" si="1">BX12/BT12*1000</f>
        <v>450</v>
      </c>
      <c r="BZ12" s="105">
        <v>0</v>
      </c>
      <c r="CA12" s="106">
        <f t="shared" ref="CA12:CA16" si="2">IF(ISNUMBER(BY12),BY12-(BY12*BZ12),"n/a")</f>
        <v>450</v>
      </c>
      <c r="CB12" s="107">
        <f t="shared" ref="CB12:CB16" si="3">BX12-(BX12*BZ12)</f>
        <v>3825000</v>
      </c>
      <c r="CC12" s="111">
        <v>0.18</v>
      </c>
      <c r="CD12" s="107">
        <f t="shared" ref="CD12:CD15" si="4">CB12*CC12</f>
        <v>688500</v>
      </c>
      <c r="CE12"/>
      <c r="CF12" s="31">
        <f t="shared" ref="CF12:CF16" si="5">CB12/BW12*1000</f>
        <v>1349.9999999999998</v>
      </c>
      <c r="CG12" s="32">
        <v>0.03</v>
      </c>
      <c r="CH12" s="33">
        <f t="shared" ref="CH12:CH16" si="6">BT12*CG12</f>
        <v>255000</v>
      </c>
      <c r="CI12" s="34">
        <f t="shared" ref="CI12:CI16" si="7">CB12/CH12</f>
        <v>15</v>
      </c>
      <c r="CJ12" s="116">
        <v>0.65</v>
      </c>
      <c r="CK12" s="36">
        <f t="shared" ref="CK12:CK15" si="8">BT12*CJ12</f>
        <v>5525000</v>
      </c>
      <c r="CL12" s="117">
        <f t="shared" ref="CL12:CL15" si="9">CB12/CK12</f>
        <v>0.69230769230769229</v>
      </c>
      <c r="CM12" s="6"/>
      <c r="CN12" s="152"/>
      <c r="CO12" s="153"/>
      <c r="CP12" s="153"/>
      <c r="CQ12" s="153"/>
      <c r="CR12" s="153"/>
      <c r="CS12" s="153"/>
      <c r="CT12" s="153"/>
      <c r="CU12" s="153"/>
      <c r="CV12" s="154"/>
      <c r="CW12" s="159"/>
      <c r="CX12" s="153"/>
      <c r="CY12" s="154"/>
      <c r="CZ12" s="6"/>
      <c r="DA12" s="152">
        <v>2737203</v>
      </c>
      <c r="DB12" s="153"/>
      <c r="DC12" s="153"/>
      <c r="DD12" s="154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</row>
    <row r="13" spans="1:197" s="18" customFormat="1" ht="36" x14ac:dyDescent="0.3">
      <c r="A13" s="18" t="s">
        <v>187</v>
      </c>
      <c r="B13" s="126" t="s">
        <v>48</v>
      </c>
      <c r="C13" s="162" t="s">
        <v>162</v>
      </c>
      <c r="D13" s="1" t="s">
        <v>111</v>
      </c>
      <c r="E13" s="39" t="s">
        <v>183</v>
      </c>
      <c r="F13" s="1" t="s">
        <v>125</v>
      </c>
      <c r="G13" s="1" t="s">
        <v>34</v>
      </c>
      <c r="H13" s="1"/>
      <c r="I13" s="5"/>
      <c r="J13" s="120"/>
      <c r="K13" s="68"/>
      <c r="L13" s="68"/>
      <c r="M13" s="68"/>
      <c r="N13" s="69"/>
      <c r="O13" s="67"/>
      <c r="P13" s="68"/>
      <c r="Q13" s="68"/>
      <c r="R13" s="68"/>
      <c r="S13" s="69"/>
      <c r="T13" s="67"/>
      <c r="U13" s="68"/>
      <c r="V13" s="68"/>
      <c r="W13" s="68"/>
      <c r="X13" s="69"/>
      <c r="Y13" s="67"/>
      <c r="Z13" s="68"/>
      <c r="AA13" s="68"/>
      <c r="AB13" s="68">
        <v>1</v>
      </c>
      <c r="AC13" s="68">
        <v>1</v>
      </c>
      <c r="AD13" s="69">
        <v>1</v>
      </c>
      <c r="AE13" s="67">
        <v>1</v>
      </c>
      <c r="AF13" s="68">
        <v>1</v>
      </c>
      <c r="AG13" s="68">
        <v>1</v>
      </c>
      <c r="AH13" s="68">
        <v>1</v>
      </c>
      <c r="AI13" s="69">
        <v>1</v>
      </c>
      <c r="AJ13" s="67">
        <v>1</v>
      </c>
      <c r="AK13" s="68">
        <v>1</v>
      </c>
      <c r="AL13" s="68">
        <v>1</v>
      </c>
      <c r="AM13" s="68">
        <v>1</v>
      </c>
      <c r="AN13" s="69">
        <v>1</v>
      </c>
      <c r="AO13" s="67">
        <v>1</v>
      </c>
      <c r="AP13" s="68">
        <v>1</v>
      </c>
      <c r="AQ13" s="68">
        <v>1</v>
      </c>
      <c r="AR13" s="68">
        <v>1</v>
      </c>
      <c r="AS13" s="68">
        <v>1</v>
      </c>
      <c r="AT13" s="69">
        <v>1</v>
      </c>
      <c r="AU13" s="67"/>
      <c r="AV13" s="68"/>
      <c r="AW13" s="68"/>
      <c r="AX13" s="68"/>
      <c r="AY13" s="69"/>
      <c r="AZ13" s="67"/>
      <c r="BA13" s="68"/>
      <c r="BB13" s="68"/>
      <c r="BC13" s="68"/>
      <c r="BD13" s="69"/>
      <c r="BE13" s="67"/>
      <c r="BF13" s="68"/>
      <c r="BG13" s="68"/>
      <c r="BH13" s="68"/>
      <c r="BI13" s="69"/>
      <c r="BJ13" s="67"/>
      <c r="BK13" s="68"/>
      <c r="BL13" s="68"/>
      <c r="BM13" s="68"/>
      <c r="BN13" s="69"/>
      <c r="BO13" s="67"/>
      <c r="BP13" s="68"/>
      <c r="BQ13" s="68"/>
      <c r="BR13" s="68"/>
      <c r="BS13" s="69"/>
      <c r="BT13" s="140">
        <f>BV13/CJ13</f>
        <v>24097428.571428575</v>
      </c>
      <c r="BU13" s="40">
        <v>1.25</v>
      </c>
      <c r="BV13" s="41">
        <v>8434100</v>
      </c>
      <c r="BW13" s="25">
        <f>BT13/4</f>
        <v>6024357.1428571437</v>
      </c>
      <c r="BX13" s="42">
        <f>BV13*BU13</f>
        <v>10542625</v>
      </c>
      <c r="BY13" s="26">
        <f t="shared" si="1"/>
        <v>437.49999999999994</v>
      </c>
      <c r="BZ13" s="27">
        <v>0</v>
      </c>
      <c r="CA13" s="28">
        <f t="shared" si="2"/>
        <v>437.49999999999994</v>
      </c>
      <c r="CB13" s="29">
        <f t="shared" si="3"/>
        <v>10542625</v>
      </c>
      <c r="CC13" s="30">
        <v>0.18</v>
      </c>
      <c r="CD13" s="29">
        <f t="shared" si="4"/>
        <v>1897672.5</v>
      </c>
      <c r="CE13"/>
      <c r="CF13" s="31">
        <f t="shared" si="5"/>
        <v>1749.9999999999998</v>
      </c>
      <c r="CG13" s="32">
        <v>5.0000000000000001E-3</v>
      </c>
      <c r="CH13" s="33">
        <f t="shared" si="6"/>
        <v>120487.14285714287</v>
      </c>
      <c r="CI13" s="34">
        <f t="shared" si="7"/>
        <v>87.499999999999986</v>
      </c>
      <c r="CJ13" s="35">
        <v>0.35</v>
      </c>
      <c r="CK13" s="36">
        <f t="shared" si="8"/>
        <v>8434100</v>
      </c>
      <c r="CL13" s="37">
        <f t="shared" si="9"/>
        <v>1.25</v>
      </c>
      <c r="CM13" s="6"/>
      <c r="CN13" s="4"/>
      <c r="CO13" s="1"/>
      <c r="CP13" s="1"/>
      <c r="CQ13" s="1"/>
      <c r="CR13" s="1"/>
      <c r="CS13" s="1"/>
      <c r="CT13" s="1"/>
      <c r="CU13" s="1"/>
      <c r="CV13" s="5"/>
      <c r="CW13" s="3"/>
      <c r="CX13" s="1"/>
      <c r="CY13" s="5"/>
      <c r="CZ13" s="6"/>
      <c r="DA13" s="4">
        <v>2735959</v>
      </c>
      <c r="DB13" s="1"/>
      <c r="DC13" s="1"/>
      <c r="DD13" s="5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</row>
    <row r="14" spans="1:197" s="18" customFormat="1" ht="24" x14ac:dyDescent="0.3">
      <c r="A14" s="18" t="s">
        <v>188</v>
      </c>
      <c r="B14" s="126" t="s">
        <v>48</v>
      </c>
      <c r="C14" s="162" t="s">
        <v>162</v>
      </c>
      <c r="D14" s="1" t="s">
        <v>111</v>
      </c>
      <c r="E14" s="39" t="s">
        <v>184</v>
      </c>
      <c r="F14" s="1" t="s">
        <v>126</v>
      </c>
      <c r="G14" s="1" t="s">
        <v>156</v>
      </c>
      <c r="H14" s="1"/>
      <c r="I14" s="5"/>
      <c r="J14" s="120"/>
      <c r="K14" s="68"/>
      <c r="L14" s="68"/>
      <c r="M14" s="68"/>
      <c r="N14" s="69"/>
      <c r="O14" s="67"/>
      <c r="P14" s="68"/>
      <c r="Q14" s="68"/>
      <c r="R14" s="68"/>
      <c r="S14" s="69"/>
      <c r="T14" s="67"/>
      <c r="U14" s="68"/>
      <c r="V14" s="68"/>
      <c r="W14" s="68"/>
      <c r="X14" s="69"/>
      <c r="Y14" s="67"/>
      <c r="Z14" s="68"/>
      <c r="AA14" s="68"/>
      <c r="AB14" s="68"/>
      <c r="AC14" s="68">
        <v>1</v>
      </c>
      <c r="AD14" s="69">
        <v>1</v>
      </c>
      <c r="AE14" s="67">
        <v>1</v>
      </c>
      <c r="AF14" s="68">
        <v>1</v>
      </c>
      <c r="AG14" s="68">
        <v>1</v>
      </c>
      <c r="AH14" s="68">
        <v>1</v>
      </c>
      <c r="AI14" s="69">
        <v>1</v>
      </c>
      <c r="AJ14" s="67">
        <v>1</v>
      </c>
      <c r="AK14" s="68">
        <v>1</v>
      </c>
      <c r="AL14" s="68">
        <v>1</v>
      </c>
      <c r="AM14" s="68">
        <v>1</v>
      </c>
      <c r="AN14" s="69">
        <v>1</v>
      </c>
      <c r="AO14" s="67">
        <v>1</v>
      </c>
      <c r="AP14" s="68">
        <v>1</v>
      </c>
      <c r="AQ14" s="68">
        <v>1</v>
      </c>
      <c r="AR14" s="68">
        <v>1</v>
      </c>
      <c r="AS14" s="68">
        <v>1</v>
      </c>
      <c r="AT14" s="69">
        <v>1</v>
      </c>
      <c r="AU14" s="67"/>
      <c r="AV14" s="68"/>
      <c r="AW14" s="68"/>
      <c r="AX14" s="68"/>
      <c r="AY14" s="69"/>
      <c r="AZ14" s="67"/>
      <c r="BA14" s="68"/>
      <c r="BB14" s="68"/>
      <c r="BC14" s="68"/>
      <c r="BD14" s="69"/>
      <c r="BE14" s="67"/>
      <c r="BF14" s="68"/>
      <c r="BG14" s="68"/>
      <c r="BH14" s="68"/>
      <c r="BI14" s="69"/>
      <c r="BJ14" s="67"/>
      <c r="BK14" s="68"/>
      <c r="BL14" s="68"/>
      <c r="BM14" s="68"/>
      <c r="BN14" s="69"/>
      <c r="BO14" s="67"/>
      <c r="BP14" s="68"/>
      <c r="BQ14" s="68"/>
      <c r="BR14" s="68"/>
      <c r="BS14" s="69"/>
      <c r="BT14" s="140">
        <f>BV14</f>
        <v>25375000</v>
      </c>
      <c r="BU14" s="43">
        <v>160</v>
      </c>
      <c r="BV14" s="143">
        <f>BX14/BU14*1000</f>
        <v>25375000</v>
      </c>
      <c r="BW14" s="144">
        <f>BT14/5</f>
        <v>5075000</v>
      </c>
      <c r="BX14" s="145">
        <v>4060000</v>
      </c>
      <c r="BY14" s="146">
        <f t="shared" si="1"/>
        <v>160</v>
      </c>
      <c r="BZ14" s="147">
        <v>0</v>
      </c>
      <c r="CA14" s="38">
        <f t="shared" si="2"/>
        <v>160</v>
      </c>
      <c r="CB14" s="148">
        <f t="shared" si="3"/>
        <v>4060000</v>
      </c>
      <c r="CC14" s="30">
        <v>0.18</v>
      </c>
      <c r="CD14" s="29">
        <f t="shared" si="4"/>
        <v>730800</v>
      </c>
      <c r="CE14"/>
      <c r="CF14" s="31">
        <f t="shared" si="5"/>
        <v>800</v>
      </c>
      <c r="CG14" s="32">
        <v>4.0000000000000002E-4</v>
      </c>
      <c r="CH14" s="33">
        <f t="shared" si="6"/>
        <v>10150</v>
      </c>
      <c r="CI14" s="34">
        <f t="shared" si="7"/>
        <v>400</v>
      </c>
      <c r="CJ14" s="35">
        <v>0.9</v>
      </c>
      <c r="CK14" s="36">
        <f t="shared" si="8"/>
        <v>22837500</v>
      </c>
      <c r="CL14" s="37">
        <f t="shared" si="9"/>
        <v>0.17777777777777778</v>
      </c>
      <c r="CM14" s="6"/>
      <c r="CN14" s="4"/>
      <c r="CO14" s="1"/>
      <c r="CP14" s="1"/>
      <c r="CQ14" s="1"/>
      <c r="CR14" s="1"/>
      <c r="CS14" s="1"/>
      <c r="CT14" s="1"/>
      <c r="CU14" s="1"/>
      <c r="CV14" s="5"/>
      <c r="CW14" s="3"/>
      <c r="CX14" s="1"/>
      <c r="CY14" s="5"/>
      <c r="CZ14" s="6"/>
      <c r="DA14" s="4">
        <v>2735960</v>
      </c>
      <c r="DB14" s="1"/>
      <c r="DC14" s="1"/>
      <c r="DD14" s="5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</row>
    <row r="15" spans="1:197" s="18" customFormat="1" ht="48" x14ac:dyDescent="0.3">
      <c r="A15" s="23" t="s">
        <v>189</v>
      </c>
      <c r="B15" s="126" t="s">
        <v>48</v>
      </c>
      <c r="C15" s="162" t="s">
        <v>162</v>
      </c>
      <c r="D15" s="1" t="s">
        <v>112</v>
      </c>
      <c r="E15" s="44" t="s">
        <v>185</v>
      </c>
      <c r="F15" s="1" t="s">
        <v>152</v>
      </c>
      <c r="G15" s="1" t="s">
        <v>156</v>
      </c>
      <c r="H15" s="1"/>
      <c r="I15" s="5"/>
      <c r="J15" s="120"/>
      <c r="K15" s="68"/>
      <c r="L15" s="68"/>
      <c r="M15" s="68"/>
      <c r="N15" s="69"/>
      <c r="O15" s="67"/>
      <c r="P15" s="68"/>
      <c r="Q15" s="68"/>
      <c r="R15" s="68"/>
      <c r="S15" s="69"/>
      <c r="T15" s="67"/>
      <c r="U15" s="68"/>
      <c r="V15" s="68"/>
      <c r="W15" s="68"/>
      <c r="X15" s="69"/>
      <c r="Y15" s="67"/>
      <c r="Z15" s="68"/>
      <c r="AA15" s="68"/>
      <c r="AB15" s="68"/>
      <c r="AC15" s="68">
        <v>1</v>
      </c>
      <c r="AD15" s="69">
        <v>1</v>
      </c>
      <c r="AE15" s="67">
        <v>1</v>
      </c>
      <c r="AF15" s="68">
        <v>1</v>
      </c>
      <c r="AG15" s="68">
        <v>1</v>
      </c>
      <c r="AH15" s="68">
        <v>1</v>
      </c>
      <c r="AI15" s="69">
        <v>1</v>
      </c>
      <c r="AJ15" s="67">
        <v>1</v>
      </c>
      <c r="AK15" s="68">
        <v>1</v>
      </c>
      <c r="AL15" s="68">
        <v>1</v>
      </c>
      <c r="AM15" s="68">
        <v>1</v>
      </c>
      <c r="AN15" s="69">
        <v>1</v>
      </c>
      <c r="AO15" s="67"/>
      <c r="AP15" s="68"/>
      <c r="AQ15" s="68"/>
      <c r="AR15" s="68"/>
      <c r="AS15" s="68"/>
      <c r="AT15" s="69"/>
      <c r="AU15" s="67"/>
      <c r="AV15" s="68"/>
      <c r="AW15" s="68"/>
      <c r="AX15" s="68"/>
      <c r="AY15" s="69"/>
      <c r="AZ15" s="67"/>
      <c r="BA15" s="68"/>
      <c r="BB15" s="68"/>
      <c r="BC15" s="68"/>
      <c r="BD15" s="69"/>
      <c r="BE15" s="67"/>
      <c r="BF15" s="68"/>
      <c r="BG15" s="68"/>
      <c r="BH15" s="68"/>
      <c r="BI15" s="69"/>
      <c r="BJ15" s="67"/>
      <c r="BK15" s="68"/>
      <c r="BL15" s="68"/>
      <c r="BM15" s="68"/>
      <c r="BN15" s="69"/>
      <c r="BO15" s="67"/>
      <c r="BP15" s="68"/>
      <c r="BQ15" s="68"/>
      <c r="BR15" s="68"/>
      <c r="BS15" s="69"/>
      <c r="BT15" s="141">
        <f>BV15</f>
        <v>13846153.846153846</v>
      </c>
      <c r="BU15" s="43">
        <v>130</v>
      </c>
      <c r="BV15" s="143">
        <f>BX15/BU15*1000</f>
        <v>13846153.846153846</v>
      </c>
      <c r="BW15" s="143">
        <f>BV15/5</f>
        <v>2769230.769230769</v>
      </c>
      <c r="BX15" s="145">
        <v>1800000</v>
      </c>
      <c r="BY15" s="146">
        <f t="shared" si="1"/>
        <v>130</v>
      </c>
      <c r="BZ15" s="147">
        <v>0</v>
      </c>
      <c r="CA15" s="38">
        <f t="shared" si="2"/>
        <v>130</v>
      </c>
      <c r="CB15" s="148">
        <f t="shared" si="3"/>
        <v>1800000</v>
      </c>
      <c r="CC15" s="30">
        <v>0.18</v>
      </c>
      <c r="CD15" s="29">
        <f t="shared" si="4"/>
        <v>324000</v>
      </c>
      <c r="CE15"/>
      <c r="CF15" s="31">
        <f t="shared" si="5"/>
        <v>650</v>
      </c>
      <c r="CG15" s="32">
        <v>2E-3</v>
      </c>
      <c r="CH15" s="33">
        <f t="shared" si="6"/>
        <v>27692.307692307691</v>
      </c>
      <c r="CI15" s="34">
        <f t="shared" si="7"/>
        <v>65</v>
      </c>
      <c r="CJ15" s="45">
        <v>0.25</v>
      </c>
      <c r="CK15" s="36">
        <f t="shared" si="8"/>
        <v>3461538.4615384615</v>
      </c>
      <c r="CL15" s="37">
        <f t="shared" si="9"/>
        <v>0.52</v>
      </c>
      <c r="CM15" s="6"/>
      <c r="CN15" s="4"/>
      <c r="CO15" s="1"/>
      <c r="CP15" s="1"/>
      <c r="CQ15" s="1"/>
      <c r="CR15" s="1"/>
      <c r="CS15" s="1"/>
      <c r="CT15" s="1"/>
      <c r="CU15" s="1"/>
      <c r="CV15" s="5"/>
      <c r="CW15" s="3"/>
      <c r="CX15" s="1"/>
      <c r="CY15" s="5"/>
      <c r="CZ15" s="6"/>
      <c r="DA15" s="4">
        <v>2737206</v>
      </c>
      <c r="DB15" s="1"/>
      <c r="DC15" s="1"/>
      <c r="DD15" s="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</row>
    <row r="16" spans="1:197" s="18" customFormat="1" ht="24.6" thickBot="1" x14ac:dyDescent="0.35">
      <c r="A16" s="23" t="s">
        <v>190</v>
      </c>
      <c r="B16" s="127" t="s">
        <v>48</v>
      </c>
      <c r="C16" s="163" t="s">
        <v>162</v>
      </c>
      <c r="D16" s="128" t="s">
        <v>113</v>
      </c>
      <c r="E16" s="129" t="s">
        <v>191</v>
      </c>
      <c r="F16" s="128" t="s">
        <v>152</v>
      </c>
      <c r="G16" s="128" t="s">
        <v>156</v>
      </c>
      <c r="H16" s="128"/>
      <c r="I16" s="130"/>
      <c r="J16" s="132"/>
      <c r="K16" s="133"/>
      <c r="L16" s="133"/>
      <c r="M16" s="133"/>
      <c r="N16" s="134"/>
      <c r="O16" s="135"/>
      <c r="P16" s="133"/>
      <c r="Q16" s="133"/>
      <c r="R16" s="133"/>
      <c r="S16" s="134"/>
      <c r="T16" s="135"/>
      <c r="U16" s="133"/>
      <c r="V16" s="133"/>
      <c r="W16" s="133"/>
      <c r="X16" s="134"/>
      <c r="Y16" s="135"/>
      <c r="Z16" s="133"/>
      <c r="AA16" s="133"/>
      <c r="AB16" s="133"/>
      <c r="AC16" s="133">
        <v>1</v>
      </c>
      <c r="AD16" s="134">
        <v>1</v>
      </c>
      <c r="AE16" s="135">
        <v>1</v>
      </c>
      <c r="AF16" s="133">
        <v>1</v>
      </c>
      <c r="AG16" s="133">
        <v>1</v>
      </c>
      <c r="AH16" s="133">
        <v>1</v>
      </c>
      <c r="AI16" s="134">
        <v>1</v>
      </c>
      <c r="AJ16" s="135">
        <v>1</v>
      </c>
      <c r="AK16" s="133">
        <v>1</v>
      </c>
      <c r="AL16" s="133">
        <v>1</v>
      </c>
      <c r="AM16" s="133">
        <v>1</v>
      </c>
      <c r="AN16" s="134">
        <v>1</v>
      </c>
      <c r="AO16" s="135">
        <v>1</v>
      </c>
      <c r="AP16" s="133">
        <v>1</v>
      </c>
      <c r="AQ16" s="133">
        <v>1</v>
      </c>
      <c r="AR16" s="133">
        <v>1</v>
      </c>
      <c r="AS16" s="133">
        <v>1</v>
      </c>
      <c r="AT16" s="134">
        <v>1</v>
      </c>
      <c r="AU16" s="135"/>
      <c r="AV16" s="133"/>
      <c r="AW16" s="133"/>
      <c r="AX16" s="133"/>
      <c r="AY16" s="134"/>
      <c r="AZ16" s="135"/>
      <c r="BA16" s="133"/>
      <c r="BB16" s="133"/>
      <c r="BC16" s="133"/>
      <c r="BD16" s="134"/>
      <c r="BE16" s="135"/>
      <c r="BF16" s="133"/>
      <c r="BG16" s="133"/>
      <c r="BH16" s="133"/>
      <c r="BI16" s="134"/>
      <c r="BJ16" s="135"/>
      <c r="BK16" s="133"/>
      <c r="BL16" s="133"/>
      <c r="BM16" s="133"/>
      <c r="BN16" s="134"/>
      <c r="BO16" s="135"/>
      <c r="BP16" s="133"/>
      <c r="BQ16" s="133"/>
      <c r="BR16" s="133"/>
      <c r="BS16" s="134"/>
      <c r="BT16" s="142">
        <f>BV16</f>
        <v>6444000</v>
      </c>
      <c r="BU16" s="46">
        <v>130</v>
      </c>
      <c r="BV16" s="47">
        <v>6444000</v>
      </c>
      <c r="BW16" s="48">
        <f>BV16/5</f>
        <v>1288800</v>
      </c>
      <c r="BX16" s="49">
        <f t="shared" ref="BX16" si="10">BV16/1000*BU16</f>
        <v>837720</v>
      </c>
      <c r="BY16" s="50">
        <f t="shared" si="1"/>
        <v>130</v>
      </c>
      <c r="BZ16" s="51">
        <v>0</v>
      </c>
      <c r="CA16" s="52">
        <f t="shared" si="2"/>
        <v>130</v>
      </c>
      <c r="CB16" s="53">
        <f t="shared" si="3"/>
        <v>837720</v>
      </c>
      <c r="CC16" s="136">
        <v>1.18</v>
      </c>
      <c r="CD16" s="53">
        <f t="shared" ref="CD16" si="11">CB16*CC16</f>
        <v>988509.6</v>
      </c>
      <c r="CE16"/>
      <c r="CF16" s="54">
        <f t="shared" si="5"/>
        <v>650</v>
      </c>
      <c r="CG16" s="55">
        <v>4.0000000000000001E-3</v>
      </c>
      <c r="CH16" s="56">
        <f t="shared" si="6"/>
        <v>25776</v>
      </c>
      <c r="CI16" s="57">
        <f t="shared" si="7"/>
        <v>32.5</v>
      </c>
      <c r="CJ16" s="58" t="e">
        <v>#N/A</v>
      </c>
      <c r="CK16" s="58" t="e">
        <v>#N/A</v>
      </c>
      <c r="CL16" s="58" t="e">
        <v>#N/A</v>
      </c>
      <c r="CM16" s="6"/>
      <c r="CN16" s="155"/>
      <c r="CO16" s="128"/>
      <c r="CP16" s="128"/>
      <c r="CQ16" s="128"/>
      <c r="CR16" s="128"/>
      <c r="CS16" s="128"/>
      <c r="CT16" s="128"/>
      <c r="CU16" s="128"/>
      <c r="CV16" s="130"/>
      <c r="CW16" s="160"/>
      <c r="CX16" s="128"/>
      <c r="CY16" s="130"/>
      <c r="CZ16" s="6"/>
      <c r="DA16" s="155">
        <v>2737205</v>
      </c>
      <c r="DB16" s="128"/>
      <c r="DC16" s="128"/>
      <c r="DD16" s="130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</row>
    <row r="17" spans="1:108" x14ac:dyDescent="0.3">
      <c r="A17" t="s">
        <v>47</v>
      </c>
      <c r="B17" s="121"/>
      <c r="C17" s="98"/>
      <c r="D17" s="98"/>
      <c r="E17" s="98"/>
      <c r="F17" s="98"/>
      <c r="G17" s="98"/>
      <c r="H17" s="98"/>
      <c r="I17" s="98"/>
      <c r="J17" s="67"/>
      <c r="K17" s="68"/>
      <c r="L17" s="68"/>
      <c r="M17" s="68"/>
      <c r="N17" s="69"/>
      <c r="O17" s="67"/>
      <c r="P17" s="68"/>
      <c r="Q17" s="68"/>
      <c r="R17" s="68"/>
      <c r="S17" s="69"/>
      <c r="T17" s="67"/>
      <c r="U17" s="68"/>
      <c r="V17" s="68"/>
      <c r="W17" s="68"/>
      <c r="X17" s="69"/>
      <c r="Y17" s="67"/>
      <c r="Z17" s="68"/>
      <c r="AA17" s="68"/>
      <c r="AB17" s="68"/>
      <c r="AC17" s="68"/>
      <c r="AD17" s="69"/>
      <c r="AE17" s="67"/>
      <c r="AF17" s="68"/>
      <c r="AG17" s="68"/>
      <c r="AH17" s="68"/>
      <c r="AI17" s="69"/>
      <c r="AJ17" s="67"/>
      <c r="AK17" s="68"/>
      <c r="AL17" s="68"/>
      <c r="AM17" s="68"/>
      <c r="AN17" s="69"/>
      <c r="AO17" s="67"/>
      <c r="AP17" s="68"/>
      <c r="AQ17" s="68"/>
      <c r="AR17" s="68"/>
      <c r="AS17" s="68"/>
      <c r="AT17" s="69"/>
      <c r="AU17" s="67"/>
      <c r="AV17" s="68"/>
      <c r="AW17" s="68"/>
      <c r="AX17" s="68"/>
      <c r="AY17" s="69"/>
      <c r="AZ17" s="67"/>
      <c r="BA17" s="68"/>
      <c r="BB17" s="68"/>
      <c r="BC17" s="68"/>
      <c r="BD17" s="69"/>
      <c r="BE17" s="67"/>
      <c r="BF17" s="68"/>
      <c r="BG17" s="68"/>
      <c r="BH17" s="68"/>
      <c r="BI17" s="69"/>
      <c r="BJ17" s="67"/>
      <c r="BK17" s="68"/>
      <c r="BL17" s="68"/>
      <c r="BM17" s="68"/>
      <c r="BN17" s="69"/>
      <c r="BO17" s="67"/>
      <c r="BP17" s="68"/>
      <c r="BQ17" s="68"/>
      <c r="BR17" s="68"/>
      <c r="BS17" s="137"/>
      <c r="BT17" s="138"/>
      <c r="BU17" s="98"/>
      <c r="BV17" s="98"/>
      <c r="BW17" s="98"/>
      <c r="BX17" s="98"/>
      <c r="BY17" s="98"/>
      <c r="BZ17" s="98"/>
      <c r="CA17" s="98"/>
      <c r="CB17" s="98"/>
      <c r="CC17" s="131"/>
      <c r="CD17" s="125"/>
      <c r="CF17" s="4"/>
      <c r="CG17" s="1"/>
      <c r="CH17" s="1"/>
      <c r="CI17" s="1"/>
      <c r="CJ17" s="1"/>
      <c r="CK17" s="1"/>
      <c r="CL17" s="2"/>
      <c r="CM17" s="6"/>
      <c r="CN17" s="11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119"/>
      <c r="CZ17" s="6"/>
      <c r="DA17" s="98"/>
      <c r="DB17" s="98"/>
      <c r="DC17" s="98"/>
      <c r="DD17" s="98"/>
    </row>
  </sheetData>
  <mergeCells count="50">
    <mergeCell ref="AZ9:BD9"/>
    <mergeCell ref="BE9:BI9"/>
    <mergeCell ref="BJ9:BN9"/>
    <mergeCell ref="BO9:BS9"/>
    <mergeCell ref="DA11:DD11"/>
    <mergeCell ref="DB8:DB10"/>
    <mergeCell ref="DC8:DC10"/>
    <mergeCell ref="DD8:DD10"/>
    <mergeCell ref="BZ8:BZ10"/>
    <mergeCell ref="CA8:CA10"/>
    <mergeCell ref="CB8:CB10"/>
    <mergeCell ref="BV8:BV10"/>
    <mergeCell ref="BW8:BW10"/>
    <mergeCell ref="CK8:CK10"/>
    <mergeCell ref="BY8:BY10"/>
    <mergeCell ref="DA7:DD7"/>
    <mergeCell ref="J9:N9"/>
    <mergeCell ref="O9:S9"/>
    <mergeCell ref="T9:X9"/>
    <mergeCell ref="Y9:AD9"/>
    <mergeCell ref="AE9:AI9"/>
    <mergeCell ref="AJ9:AN9"/>
    <mergeCell ref="AO9:AT9"/>
    <mergeCell ref="AU9:AY9"/>
    <mergeCell ref="CY8:CY10"/>
    <mergeCell ref="DA8:DA10"/>
    <mergeCell ref="CX8:CX10"/>
    <mergeCell ref="CL8:CL10"/>
    <mergeCell ref="CN8:CN10"/>
    <mergeCell ref="CO8:CO10"/>
    <mergeCell ref="CP8:CP10"/>
    <mergeCell ref="CQ8:CQ10"/>
    <mergeCell ref="CR8:CR10"/>
    <mergeCell ref="CS8:CS10"/>
    <mergeCell ref="CU8:CU10"/>
    <mergeCell ref="CV8:CV10"/>
    <mergeCell ref="CW8:CW10"/>
    <mergeCell ref="CT8:CT10"/>
    <mergeCell ref="CC8:CC10"/>
    <mergeCell ref="CD8:CD10"/>
    <mergeCell ref="CF8:CF10"/>
    <mergeCell ref="CG8:CG10"/>
    <mergeCell ref="CH8:CH10"/>
    <mergeCell ref="CI8:CI10"/>
    <mergeCell ref="CJ8:CJ10"/>
    <mergeCell ref="CF7:CL7"/>
    <mergeCell ref="BX8:BX10"/>
    <mergeCell ref="BT8:BT10"/>
    <mergeCell ref="BU8:BU10"/>
    <mergeCell ref="B11:I11"/>
  </mergeCells>
  <conditionalFormatting sqref="J11:BS25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Sheet2!$G$2:$G$6</xm:f>
          </x14:formula1>
          <xm:sqref>B12:B16</xm:sqref>
        </x14:dataValidation>
        <x14:dataValidation type="list" allowBlank="1" showInputMessage="1" showErrorMessage="1">
          <x14:formula1>
            <xm:f>Sheet2!$I$2:$I$5</xm:f>
          </x14:formula1>
          <xm:sqref>C12:C16</xm:sqref>
        </x14:dataValidation>
        <x14:dataValidation type="list" allowBlank="1" showInputMessage="1" showErrorMessage="1">
          <x14:formula1>
            <xm:f>Sheet2!$A$2:$A$12</xm:f>
          </x14:formula1>
          <xm:sqref>D12:D16</xm:sqref>
        </x14:dataValidation>
        <x14:dataValidation type="list" allowBlank="1" showInputMessage="1" showErrorMessage="1">
          <x14:formula1>
            <xm:f>Sheet2!$C$2:$C$34</xm:f>
          </x14:formula1>
          <xm:sqref>F12:F16</xm:sqref>
        </x14:dataValidation>
        <x14:dataValidation type="list" allowBlank="1" showInputMessage="1" showErrorMessage="1">
          <x14:formula1>
            <xm:f>Sheet2!$E$2:$E$34</xm:f>
          </x14:formula1>
          <xm:sqref>G12</xm:sqref>
        </x14:dataValidation>
        <x14:dataValidation type="list" allowBlank="1" showInputMessage="1" showErrorMessage="1">
          <x14:formula1>
            <xm:f>Sheet2!$E$2:$E$4</xm:f>
          </x14:formula1>
          <xm:sqref>G13:G16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4"/>
  <sheetViews>
    <sheetView workbookViewId="0">
      <selection activeCell="I6" sqref="I6"/>
    </sheetView>
  </sheetViews>
  <sheetFormatPr defaultRowHeight="14.4" x14ac:dyDescent="0.3"/>
  <cols>
    <col min="1" max="1" width="12.33203125" bestFit="1" customWidth="1"/>
    <col min="3" max="3" width="31.88671875" bestFit="1" customWidth="1"/>
    <col min="5" max="5" width="16.77734375" bestFit="1" customWidth="1"/>
    <col min="7" max="7" width="12.33203125" bestFit="1" customWidth="1"/>
  </cols>
  <sheetData>
    <row r="1" spans="1:9" x14ac:dyDescent="0.3">
      <c r="A1" s="16" t="s">
        <v>122</v>
      </c>
      <c r="C1" s="16" t="s">
        <v>121</v>
      </c>
      <c r="E1" s="16" t="s">
        <v>155</v>
      </c>
      <c r="G1" s="16" t="s">
        <v>176</v>
      </c>
      <c r="I1" s="16" t="s">
        <v>180</v>
      </c>
    </row>
    <row r="2" spans="1:9" x14ac:dyDescent="0.3">
      <c r="A2" s="17" t="s">
        <v>110</v>
      </c>
      <c r="C2" s="17" t="s">
        <v>123</v>
      </c>
      <c r="E2" s="17" t="s">
        <v>156</v>
      </c>
      <c r="G2" t="s">
        <v>48</v>
      </c>
      <c r="I2" t="s">
        <v>162</v>
      </c>
    </row>
    <row r="3" spans="1:9" x14ac:dyDescent="0.3">
      <c r="A3" s="17" t="s">
        <v>111</v>
      </c>
      <c r="C3" s="17" t="s">
        <v>124</v>
      </c>
      <c r="E3" s="17" t="s">
        <v>34</v>
      </c>
      <c r="G3" t="s">
        <v>49</v>
      </c>
      <c r="I3" t="s">
        <v>163</v>
      </c>
    </row>
    <row r="4" spans="1:9" x14ac:dyDescent="0.3">
      <c r="A4" s="17" t="s">
        <v>112</v>
      </c>
      <c r="C4" s="17" t="s">
        <v>125</v>
      </c>
      <c r="E4" s="17" t="s">
        <v>31</v>
      </c>
      <c r="G4" t="s">
        <v>177</v>
      </c>
      <c r="I4" t="s">
        <v>164</v>
      </c>
    </row>
    <row r="5" spans="1:9" x14ac:dyDescent="0.3">
      <c r="A5" s="17" t="s">
        <v>113</v>
      </c>
      <c r="C5" s="17" t="s">
        <v>126</v>
      </c>
      <c r="G5" t="s">
        <v>178</v>
      </c>
      <c r="I5" t="s">
        <v>181</v>
      </c>
    </row>
    <row r="6" spans="1:9" x14ac:dyDescent="0.3">
      <c r="A6" s="17" t="s">
        <v>114</v>
      </c>
      <c r="C6" s="17" t="s">
        <v>127</v>
      </c>
      <c r="G6" t="s">
        <v>179</v>
      </c>
    </row>
    <row r="7" spans="1:9" x14ac:dyDescent="0.3">
      <c r="A7" s="17" t="s">
        <v>115</v>
      </c>
      <c r="C7" s="17" t="s">
        <v>128</v>
      </c>
    </row>
    <row r="8" spans="1:9" x14ac:dyDescent="0.3">
      <c r="A8" s="17" t="s">
        <v>116</v>
      </c>
      <c r="C8" s="17" t="s">
        <v>129</v>
      </c>
    </row>
    <row r="9" spans="1:9" x14ac:dyDescent="0.3">
      <c r="A9" s="17" t="s">
        <v>117</v>
      </c>
      <c r="C9" s="17" t="s">
        <v>130</v>
      </c>
    </row>
    <row r="10" spans="1:9" x14ac:dyDescent="0.3">
      <c r="A10" s="17" t="s">
        <v>118</v>
      </c>
      <c r="C10" s="17" t="s">
        <v>131</v>
      </c>
    </row>
    <row r="11" spans="1:9" x14ac:dyDescent="0.3">
      <c r="A11" s="17" t="s">
        <v>119</v>
      </c>
      <c r="C11" s="17" t="s">
        <v>132</v>
      </c>
    </row>
    <row r="12" spans="1:9" x14ac:dyDescent="0.3">
      <c r="A12" s="17" t="s">
        <v>120</v>
      </c>
      <c r="C12" s="17" t="s">
        <v>133</v>
      </c>
    </row>
    <row r="13" spans="1:9" x14ac:dyDescent="0.3">
      <c r="C13" s="17" t="s">
        <v>134</v>
      </c>
    </row>
    <row r="14" spans="1:9" x14ac:dyDescent="0.3">
      <c r="C14" s="17" t="s">
        <v>135</v>
      </c>
    </row>
    <row r="15" spans="1:9" x14ac:dyDescent="0.3">
      <c r="C15" s="17" t="s">
        <v>136</v>
      </c>
    </row>
    <row r="16" spans="1:9" x14ac:dyDescent="0.3">
      <c r="C16" s="17" t="s">
        <v>137</v>
      </c>
    </row>
    <row r="17" spans="3:3" x14ac:dyDescent="0.3">
      <c r="C17" s="17" t="s">
        <v>138</v>
      </c>
    </row>
    <row r="18" spans="3:3" x14ac:dyDescent="0.3">
      <c r="C18" s="17" t="s">
        <v>139</v>
      </c>
    </row>
    <row r="19" spans="3:3" x14ac:dyDescent="0.3">
      <c r="C19" s="17" t="s">
        <v>140</v>
      </c>
    </row>
    <row r="20" spans="3:3" x14ac:dyDescent="0.3">
      <c r="C20" s="17" t="s">
        <v>141</v>
      </c>
    </row>
    <row r="21" spans="3:3" x14ac:dyDescent="0.3">
      <c r="C21" s="17" t="s">
        <v>142</v>
      </c>
    </row>
    <row r="22" spans="3:3" x14ac:dyDescent="0.3">
      <c r="C22" s="17" t="s">
        <v>143</v>
      </c>
    </row>
    <row r="23" spans="3:3" x14ac:dyDescent="0.3">
      <c r="C23" s="17" t="s">
        <v>144</v>
      </c>
    </row>
    <row r="24" spans="3:3" x14ac:dyDescent="0.3">
      <c r="C24" s="17" t="s">
        <v>145</v>
      </c>
    </row>
    <row r="25" spans="3:3" x14ac:dyDescent="0.3">
      <c r="C25" s="17" t="s">
        <v>161</v>
      </c>
    </row>
    <row r="26" spans="3:3" x14ac:dyDescent="0.3">
      <c r="C26" s="17" t="s">
        <v>146</v>
      </c>
    </row>
    <row r="27" spans="3:3" x14ac:dyDescent="0.3">
      <c r="C27" s="17" t="s">
        <v>147</v>
      </c>
    </row>
    <row r="28" spans="3:3" x14ac:dyDescent="0.3">
      <c r="C28" s="17" t="s">
        <v>148</v>
      </c>
    </row>
    <row r="29" spans="3:3" x14ac:dyDescent="0.3">
      <c r="C29" s="17" t="s">
        <v>149</v>
      </c>
    </row>
    <row r="30" spans="3:3" x14ac:dyDescent="0.3">
      <c r="C30" s="17" t="s">
        <v>150</v>
      </c>
    </row>
    <row r="31" spans="3:3" x14ac:dyDescent="0.3">
      <c r="C31" s="17" t="s">
        <v>151</v>
      </c>
    </row>
    <row r="32" spans="3:3" x14ac:dyDescent="0.3">
      <c r="C32" s="17" t="s">
        <v>152</v>
      </c>
    </row>
    <row r="33" spans="3:3" x14ac:dyDescent="0.3">
      <c r="C33" s="17" t="s">
        <v>153</v>
      </c>
    </row>
    <row r="34" spans="3:3" x14ac:dyDescent="0.3">
      <c r="C34" s="17" t="s">
        <v>154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MediaPlan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2018-07-18T09:16:16Z</dcterms:modified>
</cp:coreProperties>
</file>